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91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mike/math3550/hw3/"/>
    </mc:Choice>
  </mc:AlternateContent>
  <xr:revisionPtr revIDLastSave="0" documentId="8_{B15BE381-B1FD-E140-A439-7FE68853F757}" xr6:coauthVersionLast="47" xr6:coauthVersionMax="47" xr10:uidLastSave="{00000000-0000-0000-0000-000000000000}"/>
  <bookViews>
    <workbookView xWindow="2760" yWindow="2940" windowWidth="36100" windowHeight="19960" tabRatio="699" xr2:uid="{00000000-000D-0000-FFFF-FFFF00000000}"/>
  </bookViews>
  <sheets>
    <sheet name="Instructions" sheetId="17" r:id="rId1"/>
    <sheet name="LOAN CALCULATOR" sheetId="13" r:id="rId2"/>
    <sheet name="Answer Sheet" sheetId="15" r:id="rId3"/>
  </sheets>
  <externalReferences>
    <externalReference r:id="rId4"/>
  </externalReferences>
  <definedNames>
    <definedName name="EndingBalance" localSheetId="0">'[1]LOAN CALCULATOR'!#REF!</definedName>
    <definedName name="EndingBalance">'LOAN CALCULATOR'!#REF!</definedName>
    <definedName name="FN" localSheetId="0">#REF!</definedName>
    <definedName name="FN">#REF!</definedName>
    <definedName name="FP" localSheetId="0">#REF!</definedName>
    <definedName name="FP">#REF!</definedName>
    <definedName name="FS">#REF!</definedName>
    <definedName name="MN">#REF!</definedName>
    <definedName name="MP">#REF!</definedName>
    <definedName name="MS">#REF!</definedName>
    <definedName name="Payment">'LOAN CALCULATOR'!$C$8</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4" i="15" l="1"/>
  <c r="H12" i="15"/>
  <c r="H10" i="15"/>
  <c r="H8" i="15"/>
  <c r="H6" i="15"/>
  <c r="E13" i="13" l="1"/>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29" i="13"/>
  <c r="E230" i="13"/>
  <c r="E231" i="13"/>
  <c r="E232" i="13"/>
  <c r="E233" i="13"/>
  <c r="E234" i="13"/>
  <c r="E235" i="13"/>
  <c r="E236" i="13"/>
  <c r="E237" i="13"/>
  <c r="E238" i="13"/>
  <c r="E239" i="13"/>
  <c r="E240" i="13"/>
  <c r="E241" i="13"/>
  <c r="E242" i="13"/>
  <c r="E243" i="13"/>
  <c r="E244" i="13"/>
  <c r="E245" i="13"/>
  <c r="E246" i="13"/>
  <c r="E247" i="13"/>
  <c r="E248" i="13"/>
  <c r="E249" i="13"/>
  <c r="E250" i="13"/>
  <c r="E251" i="13"/>
  <c r="E252" i="13"/>
  <c r="E253" i="13"/>
  <c r="E254" i="13"/>
  <c r="E255" i="13"/>
  <c r="E256" i="13"/>
  <c r="E257" i="13"/>
  <c r="E258" i="13"/>
  <c r="E259" i="13"/>
  <c r="E260" i="13"/>
  <c r="E261" i="13"/>
  <c r="E262" i="13"/>
  <c r="E263" i="13"/>
  <c r="E264" i="13"/>
  <c r="E265" i="13"/>
  <c r="E266" i="13"/>
  <c r="E267" i="13"/>
  <c r="E268" i="13"/>
  <c r="E269" i="13"/>
  <c r="E270" i="13"/>
  <c r="E271" i="13"/>
  <c r="E272" i="13"/>
  <c r="E273" i="13"/>
  <c r="E274" i="13"/>
  <c r="E275" i="13"/>
  <c r="E276" i="13"/>
  <c r="E277" i="13"/>
  <c r="E278" i="13"/>
  <c r="E279" i="13"/>
  <c r="E280" i="13"/>
  <c r="E281" i="13"/>
  <c r="E282" i="13"/>
  <c r="E283" i="13"/>
  <c r="E284" i="13"/>
  <c r="E285" i="13"/>
  <c r="E286" i="13"/>
  <c r="E287" i="13"/>
  <c r="E288" i="13"/>
  <c r="E289" i="13"/>
  <c r="E290" i="13"/>
  <c r="E291" i="13"/>
  <c r="E292" i="13"/>
  <c r="E293" i="13"/>
  <c r="E294" i="13"/>
  <c r="E295" i="13"/>
  <c r="E296" i="13"/>
  <c r="E297" i="13"/>
  <c r="E298" i="13"/>
  <c r="E299" i="13"/>
  <c r="E300" i="13"/>
  <c r="E301" i="13"/>
  <c r="E302" i="13"/>
  <c r="E303" i="13"/>
  <c r="E304" i="13"/>
  <c r="E305" i="13"/>
  <c r="E306" i="13"/>
  <c r="E307" i="13"/>
  <c r="E308" i="13"/>
  <c r="E309" i="13"/>
  <c r="E310" i="13"/>
  <c r="E311" i="13"/>
  <c r="E312" i="13"/>
  <c r="E313" i="13"/>
  <c r="E314" i="13"/>
  <c r="E315" i="13"/>
  <c r="E316" i="13"/>
  <c r="E317" i="13"/>
  <c r="E318" i="13"/>
  <c r="E319" i="13"/>
  <c r="E320" i="13"/>
  <c r="E321" i="13"/>
  <c r="E322" i="13"/>
  <c r="E323" i="13"/>
  <c r="E324" i="13"/>
  <c r="E325" i="13"/>
  <c r="E326" i="13"/>
  <c r="E327" i="13"/>
  <c r="E328" i="13"/>
  <c r="E329" i="13"/>
  <c r="E330" i="13"/>
  <c r="E331" i="13"/>
  <c r="E332" i="13"/>
  <c r="E333" i="13"/>
  <c r="E334" i="13"/>
  <c r="E335" i="13"/>
  <c r="E336" i="13"/>
  <c r="E337" i="13"/>
  <c r="E338" i="13"/>
  <c r="E339" i="13"/>
  <c r="E340" i="13"/>
  <c r="E341" i="13"/>
  <c r="E342" i="13"/>
  <c r="E343" i="13"/>
  <c r="E344" i="13"/>
  <c r="E345" i="13"/>
  <c r="E346" i="13"/>
  <c r="E347" i="13"/>
  <c r="E348" i="13"/>
  <c r="E349" i="13"/>
  <c r="E350" i="13"/>
  <c r="E351" i="13"/>
  <c r="E352" i="13"/>
  <c r="E353" i="13"/>
  <c r="E354" i="13"/>
  <c r="E355" i="13"/>
  <c r="E356" i="13"/>
  <c r="E357" i="13"/>
  <c r="E358" i="13"/>
  <c r="E359" i="13"/>
  <c r="E360" i="13"/>
  <c r="E361" i="13"/>
  <c r="E362" i="13"/>
  <c r="E363" i="13"/>
  <c r="E364" i="13"/>
  <c r="E365" i="13"/>
  <c r="E366" i="13"/>
  <c r="E367" i="13"/>
  <c r="E368" i="13"/>
  <c r="E369" i="13"/>
  <c r="E370" i="13"/>
  <c r="E371" i="13"/>
  <c r="E12" i="13"/>
  <c r="C12" i="13"/>
  <c r="E4" i="13" l="1"/>
  <c r="D12" i="13" s="1"/>
  <c r="B13" i="13" l="1"/>
  <c r="B14" i="13" s="1"/>
  <c r="B15" i="13" s="1"/>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B39" i="13" s="1"/>
  <c r="B40" i="13" s="1"/>
  <c r="B41" i="13" s="1"/>
  <c r="B42" i="13" s="1"/>
  <c r="B43" i="13" s="1"/>
  <c r="B44" i="13" s="1"/>
  <c r="B45" i="13" s="1"/>
  <c r="B46" i="13" s="1"/>
  <c r="B47" i="13" s="1"/>
  <c r="B48" i="13" s="1"/>
  <c r="B49" i="13" s="1"/>
  <c r="B50" i="13" s="1"/>
  <c r="B51" i="13" s="1"/>
  <c r="B52" i="13" s="1"/>
  <c r="B53" i="13" s="1"/>
  <c r="B54" i="13" s="1"/>
  <c r="B55" i="13" s="1"/>
  <c r="B56" i="13" s="1"/>
  <c r="B57" i="13" s="1"/>
  <c r="B58" i="13" s="1"/>
  <c r="B59" i="13" s="1"/>
  <c r="B60" i="13" s="1"/>
  <c r="B61" i="13" s="1"/>
  <c r="B62" i="13" s="1"/>
  <c r="B63" i="13" s="1"/>
  <c r="B64" i="13" s="1"/>
  <c r="B65" i="13" s="1"/>
  <c r="B66" i="13" s="1"/>
  <c r="B67" i="13" s="1"/>
  <c r="B68" i="13" s="1"/>
  <c r="B69" i="13" s="1"/>
  <c r="B70" i="13" s="1"/>
  <c r="B71" i="13" s="1"/>
  <c r="B72" i="13" s="1"/>
  <c r="B73" i="13" s="1"/>
  <c r="B74" i="13" s="1"/>
  <c r="B75" i="13" s="1"/>
  <c r="B76" i="13" s="1"/>
  <c r="B77" i="13" s="1"/>
  <c r="B78" i="13" s="1"/>
  <c r="B79" i="13" s="1"/>
  <c r="B80" i="13" s="1"/>
  <c r="B81" i="13" s="1"/>
  <c r="B82" i="13" s="1"/>
  <c r="B83" i="13" s="1"/>
  <c r="B84" i="13" s="1"/>
  <c r="B85" i="13" s="1"/>
  <c r="B86" i="13" s="1"/>
  <c r="B87" i="13" s="1"/>
  <c r="B88" i="13" s="1"/>
  <c r="B89" i="13" s="1"/>
  <c r="B90" i="13" s="1"/>
  <c r="B91" i="13" s="1"/>
  <c r="B92" i="13" s="1"/>
  <c r="B93" i="13" s="1"/>
  <c r="B94" i="13" s="1"/>
  <c r="B95" i="13" s="1"/>
  <c r="B96" i="13" s="1"/>
  <c r="B97" i="13" s="1"/>
  <c r="B98" i="13" s="1"/>
  <c r="B99" i="13" s="1"/>
  <c r="B100" i="13" s="1"/>
  <c r="B101" i="13" s="1"/>
  <c r="B102" i="13" s="1"/>
  <c r="B103" i="13" s="1"/>
  <c r="B104" i="13" s="1"/>
  <c r="B105" i="13" s="1"/>
  <c r="B106" i="13" s="1"/>
  <c r="B107" i="13" s="1"/>
  <c r="B108" i="13" s="1"/>
  <c r="B109" i="13" s="1"/>
  <c r="B110" i="13" s="1"/>
  <c r="B111" i="13" s="1"/>
  <c r="B112" i="13" s="1"/>
  <c r="B113" i="13" s="1"/>
  <c r="B114" i="13" s="1"/>
  <c r="B115" i="13" s="1"/>
  <c r="B116" i="13" s="1"/>
  <c r="B117" i="13" s="1"/>
  <c r="B118" i="13" s="1"/>
  <c r="B119" i="13" s="1"/>
  <c r="B120" i="13" s="1"/>
  <c r="B121" i="13" s="1"/>
  <c r="B122" i="13" s="1"/>
  <c r="B123" i="13" s="1"/>
  <c r="B124" i="13" s="1"/>
  <c r="B125" i="13" s="1"/>
  <c r="B126" i="13" s="1"/>
  <c r="B127" i="13" s="1"/>
  <c r="B128" i="13" s="1"/>
  <c r="B129" i="13" s="1"/>
  <c r="B130" i="13" s="1"/>
  <c r="B131" i="13" s="1"/>
  <c r="B132" i="13" s="1"/>
  <c r="B133" i="13" s="1"/>
  <c r="B134" i="13" s="1"/>
  <c r="B135" i="13" s="1"/>
  <c r="B136" i="13" s="1"/>
  <c r="B137" i="13" s="1"/>
  <c r="B138" i="13" s="1"/>
  <c r="B139" i="13" s="1"/>
  <c r="B140" i="13" s="1"/>
  <c r="B141" i="13" s="1"/>
  <c r="B142" i="13" s="1"/>
  <c r="B143" i="13" s="1"/>
  <c r="B144" i="13" s="1"/>
  <c r="B145" i="13" s="1"/>
  <c r="B146" i="13" s="1"/>
  <c r="B147" i="13" s="1"/>
  <c r="B148" i="13" s="1"/>
  <c r="B149" i="13" s="1"/>
  <c r="B150" i="13" s="1"/>
  <c r="B151" i="13" s="1"/>
  <c r="B152" i="13" s="1"/>
  <c r="B153" i="13" s="1"/>
  <c r="B154" i="13" s="1"/>
  <c r="B155" i="13" s="1"/>
  <c r="B156" i="13" s="1"/>
  <c r="B157" i="13" s="1"/>
  <c r="B158" i="13" s="1"/>
  <c r="B159" i="13" s="1"/>
  <c r="B160" i="13" s="1"/>
  <c r="B161" i="13" s="1"/>
  <c r="B162" i="13" s="1"/>
  <c r="B163" i="13" s="1"/>
  <c r="B164" i="13" s="1"/>
  <c r="B165" i="13" s="1"/>
  <c r="B166" i="13" s="1"/>
  <c r="B167" i="13" s="1"/>
  <c r="B168" i="13" s="1"/>
  <c r="B169" i="13" s="1"/>
  <c r="B170" i="13" s="1"/>
  <c r="B171" i="13" s="1"/>
  <c r="B172" i="13" s="1"/>
  <c r="B173" i="13" s="1"/>
  <c r="B174" i="13" s="1"/>
  <c r="B175" i="13" s="1"/>
  <c r="B176" i="13" s="1"/>
  <c r="B177" i="13" s="1"/>
  <c r="B178" i="13" s="1"/>
  <c r="B179" i="13" s="1"/>
  <c r="B180" i="13" s="1"/>
  <c r="B181" i="13" s="1"/>
  <c r="B182" i="13" s="1"/>
  <c r="B183" i="13" s="1"/>
  <c r="B184" i="13" s="1"/>
  <c r="B185" i="13" s="1"/>
  <c r="B186" i="13" s="1"/>
  <c r="B187" i="13" s="1"/>
  <c r="B188" i="13" s="1"/>
  <c r="B189" i="13" s="1"/>
  <c r="B190" i="13" s="1"/>
  <c r="B191" i="13" s="1"/>
  <c r="B192" i="13" s="1"/>
  <c r="B193" i="13" s="1"/>
  <c r="B194" i="13" s="1"/>
  <c r="B195" i="13" s="1"/>
  <c r="B196" i="13" s="1"/>
  <c r="B197" i="13" s="1"/>
  <c r="B198" i="13" s="1"/>
  <c r="B199" i="13" s="1"/>
  <c r="B200" i="13" s="1"/>
  <c r="B201" i="13" s="1"/>
  <c r="B202" i="13" s="1"/>
  <c r="B203" i="13" s="1"/>
  <c r="B204" i="13" s="1"/>
  <c r="B205" i="13" s="1"/>
  <c r="B206" i="13" s="1"/>
  <c r="B207" i="13" s="1"/>
  <c r="B208" i="13" s="1"/>
  <c r="B209" i="13" s="1"/>
  <c r="B210" i="13" s="1"/>
  <c r="B211" i="13" s="1"/>
  <c r="B212" i="13" s="1"/>
  <c r="B213" i="13" s="1"/>
  <c r="B214" i="13" s="1"/>
  <c r="B215" i="13" s="1"/>
  <c r="B216" i="13" s="1"/>
  <c r="B217" i="13" s="1"/>
  <c r="B218" i="13" s="1"/>
  <c r="B219" i="13" s="1"/>
  <c r="B220" i="13" s="1"/>
  <c r="B221" i="13" s="1"/>
  <c r="B222" i="13" s="1"/>
  <c r="B223" i="13" s="1"/>
  <c r="B224" i="13" s="1"/>
  <c r="B225" i="13" s="1"/>
  <c r="B226" i="13" s="1"/>
  <c r="B227" i="13" s="1"/>
  <c r="B228" i="13" s="1"/>
  <c r="B229" i="13" s="1"/>
  <c r="B230" i="13" s="1"/>
  <c r="B231" i="13" s="1"/>
  <c r="B232" i="13" s="1"/>
  <c r="B233" i="13" s="1"/>
  <c r="B234" i="13" s="1"/>
  <c r="B235" i="13" s="1"/>
  <c r="B236" i="13" s="1"/>
  <c r="B237" i="13" s="1"/>
  <c r="B238" i="13" s="1"/>
  <c r="B239" i="13" s="1"/>
  <c r="B240" i="13" s="1"/>
  <c r="B241" i="13" s="1"/>
  <c r="B242" i="13" s="1"/>
  <c r="B243" i="13" s="1"/>
  <c r="B244" i="13" s="1"/>
  <c r="B245" i="13" s="1"/>
  <c r="B246" i="13" s="1"/>
  <c r="B247" i="13" s="1"/>
  <c r="B248" i="13" s="1"/>
  <c r="B249" i="13" s="1"/>
  <c r="B250" i="13" s="1"/>
  <c r="B251" i="13" s="1"/>
  <c r="B252" i="13" s="1"/>
  <c r="B253" i="13" s="1"/>
  <c r="B254" i="13" s="1"/>
  <c r="B255" i="13" s="1"/>
  <c r="B256" i="13" s="1"/>
  <c r="B257" i="13" s="1"/>
  <c r="B258" i="13" s="1"/>
  <c r="B259" i="13" s="1"/>
  <c r="B260" i="13" s="1"/>
  <c r="B261" i="13" s="1"/>
  <c r="B262" i="13" s="1"/>
  <c r="B263" i="13" s="1"/>
  <c r="B264" i="13" s="1"/>
  <c r="B265" i="13" s="1"/>
  <c r="B266" i="13" s="1"/>
  <c r="B267" i="13" s="1"/>
  <c r="B268" i="13" s="1"/>
  <c r="B269" i="13" s="1"/>
  <c r="B270" i="13" s="1"/>
  <c r="B271" i="13" s="1"/>
  <c r="B272" i="13" s="1"/>
  <c r="B273" i="13" s="1"/>
  <c r="B274" i="13" s="1"/>
  <c r="B275" i="13" s="1"/>
  <c r="B276" i="13" s="1"/>
  <c r="B277" i="13" s="1"/>
  <c r="B278" i="13" s="1"/>
  <c r="B279" i="13" s="1"/>
  <c r="B280" i="13" s="1"/>
  <c r="B281" i="13" s="1"/>
  <c r="B282" i="13" s="1"/>
  <c r="B283" i="13" s="1"/>
  <c r="B284" i="13" s="1"/>
  <c r="B285" i="13" s="1"/>
  <c r="B286" i="13" s="1"/>
  <c r="B287" i="13" s="1"/>
  <c r="B288" i="13" s="1"/>
  <c r="B289" i="13" s="1"/>
  <c r="B290" i="13" s="1"/>
  <c r="B291" i="13" s="1"/>
  <c r="B292" i="13" s="1"/>
  <c r="B293" i="13" s="1"/>
  <c r="B294" i="13" s="1"/>
  <c r="B295" i="13" s="1"/>
  <c r="B296" i="13" s="1"/>
  <c r="B297" i="13" s="1"/>
  <c r="B298" i="13" s="1"/>
  <c r="B299" i="13" s="1"/>
  <c r="B300" i="13" s="1"/>
  <c r="B301" i="13" s="1"/>
  <c r="B302" i="13" s="1"/>
  <c r="B303" i="13" s="1"/>
  <c r="B304" i="13" s="1"/>
  <c r="B305" i="13" s="1"/>
  <c r="B306" i="13" s="1"/>
  <c r="B307" i="13" s="1"/>
  <c r="B308" i="13" s="1"/>
  <c r="B309" i="13" s="1"/>
  <c r="B310" i="13" s="1"/>
  <c r="B311" i="13" s="1"/>
  <c r="B312" i="13" s="1"/>
  <c r="B313" i="13" s="1"/>
  <c r="B314" i="13" s="1"/>
  <c r="B315" i="13" s="1"/>
  <c r="B316" i="13" s="1"/>
  <c r="B317" i="13" s="1"/>
  <c r="B318" i="13" s="1"/>
  <c r="B319" i="13" s="1"/>
  <c r="B320" i="13" s="1"/>
  <c r="B321" i="13" s="1"/>
  <c r="B322" i="13" s="1"/>
  <c r="B323" i="13" s="1"/>
  <c r="B324" i="13" s="1"/>
  <c r="B325" i="13" s="1"/>
  <c r="B326" i="13" s="1"/>
  <c r="B327" i="13" s="1"/>
  <c r="B328" i="13" s="1"/>
  <c r="B329" i="13" s="1"/>
  <c r="B330" i="13" s="1"/>
  <c r="B331" i="13" s="1"/>
  <c r="B332" i="13" s="1"/>
  <c r="B333" i="13" s="1"/>
  <c r="B334" i="13" s="1"/>
  <c r="B335" i="13" s="1"/>
  <c r="B336" i="13" s="1"/>
  <c r="B337" i="13" s="1"/>
  <c r="B338" i="13" s="1"/>
  <c r="B339" i="13" s="1"/>
  <c r="B340" i="13" s="1"/>
  <c r="B341" i="13" s="1"/>
  <c r="B342" i="13" s="1"/>
  <c r="B343" i="13" s="1"/>
  <c r="B344" i="13" s="1"/>
  <c r="B345" i="13" s="1"/>
  <c r="B346" i="13" s="1"/>
  <c r="B347" i="13" s="1"/>
  <c r="B348" i="13" s="1"/>
  <c r="B349" i="13" s="1"/>
  <c r="B350" i="13" s="1"/>
  <c r="B351" i="13" s="1"/>
  <c r="B352" i="13" s="1"/>
  <c r="B353" i="13" s="1"/>
  <c r="B354" i="13" s="1"/>
  <c r="B355" i="13" s="1"/>
  <c r="B356" i="13" s="1"/>
  <c r="B357" i="13" s="1"/>
  <c r="B358" i="13" s="1"/>
  <c r="B359" i="13" s="1"/>
  <c r="B360" i="13" s="1"/>
  <c r="B361" i="13" s="1"/>
  <c r="B362" i="13" s="1"/>
  <c r="B363" i="13" s="1"/>
  <c r="B364" i="13" s="1"/>
  <c r="B365" i="13" s="1"/>
  <c r="B366" i="13" s="1"/>
  <c r="B367" i="13" s="1"/>
  <c r="B368" i="13" s="1"/>
  <c r="B369" i="13" s="1"/>
  <c r="B370" i="13" s="1"/>
  <c r="B371" i="13" s="1"/>
  <c r="F12" i="13" l="1"/>
  <c r="C13" i="13" l="1"/>
  <c r="D13" i="13" s="1"/>
  <c r="F13" i="13" l="1"/>
  <c r="C14" i="13" s="1"/>
  <c r="D14" i="13" s="1"/>
  <c r="F14" i="13" l="1"/>
  <c r="C15" i="13" s="1"/>
  <c r="D15" i="13" s="1"/>
  <c r="F15" i="13" l="1"/>
  <c r="C16" i="13" s="1"/>
  <c r="D16" i="13" s="1"/>
  <c r="F16" i="13" l="1"/>
  <c r="C17" i="13" s="1"/>
  <c r="D17" i="13" s="1"/>
  <c r="F17" i="13" l="1"/>
  <c r="C18" i="13" s="1"/>
  <c r="D18" i="13" s="1"/>
  <c r="F18" i="13" l="1"/>
  <c r="C19" i="13" s="1"/>
  <c r="D19" i="13" s="1"/>
  <c r="F19" i="13" l="1"/>
  <c r="C20" i="13" s="1"/>
  <c r="D20" i="13" s="1"/>
  <c r="F20" i="13" l="1"/>
  <c r="C21" i="13" s="1"/>
  <c r="D21" i="13" s="1"/>
  <c r="F21" i="13" l="1"/>
  <c r="C22" i="13" s="1"/>
  <c r="D22" i="13" s="1"/>
  <c r="F22" i="13" l="1"/>
  <c r="C23" i="13" s="1"/>
  <c r="D23" i="13" s="1"/>
  <c r="F23" i="13" l="1"/>
  <c r="C24" i="13" s="1"/>
  <c r="D24" i="13" s="1"/>
  <c r="F24" i="13" l="1"/>
  <c r="C25" i="13" s="1"/>
  <c r="D25" i="13" s="1"/>
  <c r="F25" i="13" l="1"/>
  <c r="C26" i="13" s="1"/>
  <c r="D26" i="13" s="1"/>
  <c r="F26" i="13" l="1"/>
  <c r="C27" i="13" s="1"/>
  <c r="D27" i="13" s="1"/>
  <c r="F27" i="13" l="1"/>
  <c r="C28" i="13" s="1"/>
  <c r="D28" i="13" s="1"/>
  <c r="F28" i="13" l="1"/>
  <c r="C29" i="13" s="1"/>
  <c r="D29" i="13" s="1"/>
  <c r="F29" i="13" s="1"/>
  <c r="C30" i="13" s="1"/>
  <c r="D30" i="13" s="1"/>
  <c r="F30" i="13" l="1"/>
  <c r="C31" i="13" s="1"/>
  <c r="D31" i="13" s="1"/>
  <c r="F31" i="13" l="1"/>
  <c r="C32" i="13" s="1"/>
  <c r="D32" i="13" s="1"/>
  <c r="F32" i="13" l="1"/>
  <c r="C33" i="13" s="1"/>
  <c r="D33" i="13" s="1"/>
  <c r="F33" i="13" l="1"/>
  <c r="C34" i="13" s="1"/>
  <c r="D34" i="13" s="1"/>
  <c r="F34" i="13" l="1"/>
  <c r="C35" i="13" s="1"/>
  <c r="D35" i="13" s="1"/>
  <c r="F35" i="13" l="1"/>
  <c r="C36" i="13" s="1"/>
  <c r="D36" i="13" s="1"/>
  <c r="F36" i="13" l="1"/>
  <c r="C37" i="13" s="1"/>
  <c r="D37" i="13" s="1"/>
  <c r="F37" i="13" l="1"/>
  <c r="C38" i="13" s="1"/>
  <c r="D38" i="13" s="1"/>
  <c r="F38" i="13" l="1"/>
  <c r="C39" i="13" s="1"/>
  <c r="D39" i="13" s="1"/>
  <c r="F39" i="13" l="1"/>
  <c r="C40" i="13" s="1"/>
  <c r="D40" i="13" s="1"/>
  <c r="F40" i="13" l="1"/>
  <c r="C41" i="13" s="1"/>
  <c r="D41" i="13" s="1"/>
  <c r="F41" i="13" l="1"/>
  <c r="C42" i="13" s="1"/>
  <c r="D42" i="13" s="1"/>
  <c r="F42" i="13" l="1"/>
  <c r="C43" i="13" s="1"/>
  <c r="D43" i="13" s="1"/>
  <c r="F43" i="13" l="1"/>
  <c r="C44" i="13" s="1"/>
  <c r="D44" i="13" s="1"/>
  <c r="F44" i="13" l="1"/>
  <c r="C45" i="13" s="1"/>
  <c r="D45" i="13" s="1"/>
  <c r="F45" i="13" l="1"/>
  <c r="C46" i="13" s="1"/>
  <c r="D46" i="13" s="1"/>
  <c r="F46" i="13" l="1"/>
  <c r="C47" i="13" s="1"/>
  <c r="D47" i="13" s="1"/>
  <c r="F47" i="13" l="1"/>
  <c r="C48" i="13" s="1"/>
  <c r="D48" i="13" s="1"/>
  <c r="F48" i="13" l="1"/>
  <c r="C49" i="13" s="1"/>
  <c r="D49" i="13" s="1"/>
  <c r="F49" i="13" l="1"/>
  <c r="C50" i="13" s="1"/>
  <c r="D50" i="13" s="1"/>
  <c r="F50" i="13" l="1"/>
  <c r="C51" i="13" s="1"/>
  <c r="D51" i="13" s="1"/>
  <c r="F51" i="13" l="1"/>
  <c r="C52" i="13" s="1"/>
  <c r="D52" i="13" s="1"/>
  <c r="F52" i="13" l="1"/>
  <c r="C53" i="13" s="1"/>
  <c r="D53" i="13" s="1"/>
  <c r="F53" i="13" l="1"/>
  <c r="C54" i="13" s="1"/>
  <c r="D54" i="13" s="1"/>
  <c r="F54" i="13" l="1"/>
  <c r="C55" i="13" s="1"/>
  <c r="D55" i="13" s="1"/>
  <c r="F55" i="13" l="1"/>
  <c r="C56" i="13" s="1"/>
  <c r="D56" i="13" s="1"/>
  <c r="F56" i="13" l="1"/>
  <c r="C57" i="13" s="1"/>
  <c r="D57" i="13" s="1"/>
  <c r="F57" i="13" l="1"/>
  <c r="C58" i="13" s="1"/>
  <c r="D58" i="13" s="1"/>
  <c r="F58" i="13" l="1"/>
  <c r="C59" i="13" s="1"/>
  <c r="D59" i="13" s="1"/>
  <c r="F59" i="13" l="1"/>
  <c r="C60" i="13" l="1"/>
  <c r="D60" i="13" s="1"/>
  <c r="F60" i="13" l="1"/>
  <c r="C61" i="13" s="1"/>
  <c r="D61" i="13" s="1"/>
  <c r="F61" i="13" l="1"/>
  <c r="C62" i="13" s="1"/>
  <c r="D62" i="13" s="1"/>
  <c r="F62" i="13" l="1"/>
  <c r="C63" i="13" s="1"/>
  <c r="D63" i="13" s="1"/>
  <c r="F63" i="13" l="1"/>
  <c r="C64" i="13" s="1"/>
  <c r="D64" i="13" s="1"/>
  <c r="F64" i="13" l="1"/>
  <c r="C65" i="13" s="1"/>
  <c r="D65" i="13" s="1"/>
  <c r="F65" i="13" l="1"/>
  <c r="C66" i="13" s="1"/>
  <c r="D66" i="13" s="1"/>
  <c r="F66" i="13" l="1"/>
  <c r="C67" i="13" s="1"/>
  <c r="D67" i="13" s="1"/>
  <c r="F67" i="13" l="1"/>
  <c r="C68" i="13" s="1"/>
  <c r="D68" i="13" s="1"/>
  <c r="F68" i="13" l="1"/>
  <c r="C69" i="13" s="1"/>
  <c r="D69" i="13" s="1"/>
  <c r="F69" i="13" l="1"/>
  <c r="C70" i="13" s="1"/>
  <c r="D70" i="13" s="1"/>
  <c r="F70" i="13" l="1"/>
  <c r="C71" i="13" s="1"/>
  <c r="D71" i="13" s="1"/>
  <c r="F71" i="13" l="1"/>
  <c r="C72" i="13" s="1"/>
  <c r="D72" i="13" s="1"/>
  <c r="F72" i="13" l="1"/>
  <c r="C73" i="13" s="1"/>
  <c r="D73" i="13" s="1"/>
  <c r="F73" i="13" l="1"/>
  <c r="C74" i="13" s="1"/>
  <c r="D74" i="13" s="1"/>
  <c r="F74" i="13" l="1"/>
  <c r="C75" i="13" s="1"/>
  <c r="D75" i="13" s="1"/>
  <c r="F75" i="13" l="1"/>
  <c r="C76" i="13" s="1"/>
  <c r="D76" i="13" s="1"/>
  <c r="F76" i="13" l="1"/>
  <c r="C77" i="13" s="1"/>
  <c r="D77" i="13" s="1"/>
  <c r="F77" i="13" l="1"/>
  <c r="C78" i="13" s="1"/>
  <c r="D78" i="13" s="1"/>
  <c r="F78" i="13" l="1"/>
  <c r="C79" i="13" s="1"/>
  <c r="D79" i="13" s="1"/>
  <c r="F79" i="13" l="1"/>
  <c r="C80" i="13" s="1"/>
  <c r="D80" i="13" s="1"/>
  <c r="F80" i="13" l="1"/>
  <c r="C81" i="13" s="1"/>
  <c r="D81" i="13" s="1"/>
  <c r="F81" i="13" l="1"/>
  <c r="C82" i="13" s="1"/>
  <c r="D82" i="13" s="1"/>
  <c r="F82" i="13" l="1"/>
  <c r="C83" i="13" s="1"/>
  <c r="D83" i="13" s="1"/>
  <c r="F83" i="13" l="1"/>
  <c r="C84" i="13" l="1"/>
  <c r="D84" i="13" s="1"/>
  <c r="F84" i="13" l="1"/>
  <c r="C85" i="13" s="1"/>
  <c r="D85" i="13" s="1"/>
  <c r="F85" i="13" l="1"/>
  <c r="C86" i="13" s="1"/>
  <c r="D86" i="13" s="1"/>
  <c r="F86" i="13" l="1"/>
  <c r="C87" i="13" s="1"/>
  <c r="D87" i="13" s="1"/>
  <c r="F87" i="13" l="1"/>
  <c r="C88" i="13" s="1"/>
  <c r="D88" i="13" s="1"/>
  <c r="F88" i="13" l="1"/>
  <c r="C89" i="13" s="1"/>
  <c r="D89" i="13" s="1"/>
  <c r="F89" i="13" l="1"/>
  <c r="C90" i="13" s="1"/>
  <c r="D90" i="13" s="1"/>
  <c r="F90" i="13" l="1"/>
  <c r="C91" i="13" s="1"/>
  <c r="D91" i="13" s="1"/>
  <c r="F91" i="13" l="1"/>
  <c r="C92" i="13" s="1"/>
  <c r="D92" i="13" s="1"/>
  <c r="F92" i="13" l="1"/>
  <c r="C93" i="13" s="1"/>
  <c r="D93" i="13" s="1"/>
  <c r="F93" i="13" l="1"/>
  <c r="C94" i="13" s="1"/>
  <c r="D94" i="13" s="1"/>
  <c r="F94" i="13" l="1"/>
  <c r="C95" i="13" s="1"/>
  <c r="D95" i="13" s="1"/>
  <c r="F95" i="13" l="1"/>
  <c r="C96" i="13" s="1"/>
  <c r="D96" i="13" s="1"/>
  <c r="F96" i="13" l="1"/>
  <c r="C97" i="13" s="1"/>
  <c r="D97" i="13" s="1"/>
  <c r="F97" i="13" l="1"/>
  <c r="C98" i="13" s="1"/>
  <c r="D98" i="13" s="1"/>
  <c r="F98" i="13" s="1"/>
  <c r="C99" i="13" s="1"/>
  <c r="D99" i="13" s="1"/>
  <c r="F99" i="13" l="1"/>
  <c r="C100" i="13" s="1"/>
  <c r="D100" i="13" s="1"/>
  <c r="F100" i="13" l="1"/>
  <c r="C101" i="13" s="1"/>
  <c r="D101" i="13" s="1"/>
  <c r="F101" i="13" l="1"/>
  <c r="C102" i="13" s="1"/>
  <c r="D102" i="13" s="1"/>
  <c r="F102" i="13" l="1"/>
  <c r="C103" i="13" s="1"/>
  <c r="D103" i="13" s="1"/>
  <c r="F103" i="13" l="1"/>
  <c r="C104" i="13" s="1"/>
  <c r="D104" i="13" s="1"/>
  <c r="F104" i="13" l="1"/>
  <c r="C105" i="13" s="1"/>
  <c r="D105" i="13" s="1"/>
  <c r="F105" i="13" l="1"/>
  <c r="C106" i="13" s="1"/>
  <c r="D106" i="13" s="1"/>
  <c r="F106" i="13" l="1"/>
  <c r="C107" i="13" s="1"/>
  <c r="D107" i="13" s="1"/>
  <c r="F107" i="13" l="1"/>
  <c r="C108" i="13" s="1"/>
  <c r="D108" i="13" s="1"/>
  <c r="F108" i="13" l="1"/>
  <c r="C109" i="13" s="1"/>
  <c r="D109" i="13" s="1"/>
  <c r="F109" i="13" l="1"/>
  <c r="C110" i="13" s="1"/>
  <c r="D110" i="13" s="1"/>
  <c r="F110" i="13" l="1"/>
  <c r="C111" i="13" s="1"/>
  <c r="D111" i="13" s="1"/>
  <c r="F111" i="13" l="1"/>
  <c r="C112" i="13" s="1"/>
  <c r="D112" i="13" s="1"/>
  <c r="F112" i="13" l="1"/>
  <c r="C113" i="13" s="1"/>
  <c r="D113" i="13" s="1"/>
  <c r="F113" i="13" l="1"/>
  <c r="C114" i="13" s="1"/>
  <c r="D114" i="13" s="1"/>
  <c r="F114" i="13" l="1"/>
  <c r="C115" i="13" s="1"/>
  <c r="D115" i="13" s="1"/>
  <c r="F115" i="13" l="1"/>
  <c r="C116" i="13" s="1"/>
  <c r="D116" i="13" s="1"/>
  <c r="F116" i="13" l="1"/>
  <c r="C117" i="13" s="1"/>
  <c r="D117" i="13" s="1"/>
  <c r="F117" i="13" l="1"/>
  <c r="C118" i="13" s="1"/>
  <c r="D118" i="13" s="1"/>
  <c r="F118" i="13" l="1"/>
  <c r="C119" i="13" s="1"/>
  <c r="D119" i="13" s="1"/>
  <c r="F119" i="13" l="1"/>
  <c r="C120" i="13" s="1"/>
  <c r="D120" i="13" s="1"/>
  <c r="F120" i="13" l="1"/>
  <c r="C121" i="13" s="1"/>
  <c r="D121" i="13" s="1"/>
  <c r="F121" i="13" l="1"/>
  <c r="C122" i="13" s="1"/>
  <c r="D122" i="13" s="1"/>
  <c r="F122" i="13" l="1"/>
  <c r="C123" i="13" s="1"/>
  <c r="D123" i="13" s="1"/>
  <c r="F123" i="13" l="1"/>
  <c r="C124" i="13" s="1"/>
  <c r="D124" i="13" s="1"/>
  <c r="F124" i="13" l="1"/>
  <c r="C125" i="13" s="1"/>
  <c r="D125" i="13" s="1"/>
  <c r="F125" i="13" l="1"/>
  <c r="C126" i="13" s="1"/>
  <c r="D126" i="13" s="1"/>
  <c r="F126" i="13" l="1"/>
  <c r="C127" i="13" s="1"/>
  <c r="D127" i="13" s="1"/>
  <c r="F127" i="13" l="1"/>
  <c r="C128" i="13" s="1"/>
  <c r="D128" i="13" s="1"/>
  <c r="F128" i="13" l="1"/>
  <c r="C129" i="13" s="1"/>
  <c r="D129" i="13" s="1"/>
  <c r="F129" i="13" l="1"/>
  <c r="C130" i="13" s="1"/>
  <c r="D130" i="13" s="1"/>
  <c r="F130" i="13" l="1"/>
  <c r="C131" i="13" l="1"/>
  <c r="D131" i="13" s="1"/>
  <c r="F131" i="13" l="1"/>
  <c r="F6" i="13" s="1"/>
  <c r="C132" i="13" l="1"/>
  <c r="D132" i="13" s="1"/>
  <c r="F132" i="13" l="1"/>
  <c r="C133" i="13" s="1"/>
  <c r="D133" i="13" s="1"/>
  <c r="F133" i="13" l="1"/>
  <c r="C134" i="13" s="1"/>
  <c r="D134" i="13" s="1"/>
  <c r="F134" i="13" l="1"/>
  <c r="C135" i="13" s="1"/>
  <c r="D135" i="13" s="1"/>
  <c r="F135" i="13" l="1"/>
  <c r="C136" i="13" s="1"/>
  <c r="D136" i="13" s="1"/>
  <c r="F136" i="13" l="1"/>
  <c r="C137" i="13" s="1"/>
  <c r="D137" i="13" s="1"/>
  <c r="F137" i="13" l="1"/>
  <c r="C138" i="13" s="1"/>
  <c r="D138" i="13" s="1"/>
  <c r="F138" i="13" l="1"/>
  <c r="C139" i="13" s="1"/>
  <c r="D139" i="13" s="1"/>
  <c r="F139" i="13" l="1"/>
  <c r="C140" i="13" s="1"/>
  <c r="D140" i="13" s="1"/>
  <c r="F140" i="13" l="1"/>
  <c r="C141" i="13" s="1"/>
  <c r="D141" i="13" s="1"/>
  <c r="F141" i="13" l="1"/>
  <c r="C142" i="13" s="1"/>
  <c r="D142" i="13" s="1"/>
  <c r="F142" i="13" l="1"/>
  <c r="C143" i="13" s="1"/>
  <c r="D143" i="13" s="1"/>
  <c r="F143" i="13" l="1"/>
  <c r="C144" i="13" s="1"/>
  <c r="D144" i="13" s="1"/>
  <c r="F144" i="13" l="1"/>
  <c r="C145" i="13" s="1"/>
  <c r="D145" i="13" s="1"/>
  <c r="F145" i="13" l="1"/>
  <c r="C146" i="13" s="1"/>
  <c r="D146" i="13" s="1"/>
  <c r="F146" i="13" l="1"/>
  <c r="C147" i="13" s="1"/>
  <c r="D147" i="13" s="1"/>
  <c r="F147" i="13" l="1"/>
  <c r="C148" i="13" s="1"/>
  <c r="D148" i="13" s="1"/>
  <c r="F148" i="13" l="1"/>
  <c r="C149" i="13" s="1"/>
  <c r="D149" i="13" s="1"/>
  <c r="F149" i="13" l="1"/>
  <c r="C150" i="13" s="1"/>
  <c r="D150" i="13" s="1"/>
  <c r="F150" i="13" l="1"/>
  <c r="C151" i="13" s="1"/>
  <c r="D151" i="13" s="1"/>
  <c r="F151" i="13" l="1"/>
  <c r="C152" i="13" s="1"/>
  <c r="D152" i="13" s="1"/>
  <c r="F152" i="13" l="1"/>
  <c r="C153" i="13" s="1"/>
  <c r="D153" i="13" s="1"/>
  <c r="F153" i="13" l="1"/>
  <c r="C154" i="13" s="1"/>
  <c r="D154" i="13" s="1"/>
  <c r="F154" i="13" l="1"/>
  <c r="C155" i="13" s="1"/>
  <c r="D155" i="13" s="1"/>
  <c r="F155" i="13" l="1"/>
  <c r="C156" i="13" s="1"/>
  <c r="D156" i="13" s="1"/>
  <c r="F156" i="13" l="1"/>
  <c r="C157" i="13" s="1"/>
  <c r="D157" i="13" s="1"/>
  <c r="F157" i="13" l="1"/>
  <c r="C158" i="13" s="1"/>
  <c r="D158" i="13" s="1"/>
  <c r="F158" i="13" s="1"/>
  <c r="C159" i="13" s="1"/>
  <c r="D159" i="13" s="1"/>
  <c r="F159" i="13" l="1"/>
  <c r="C160" i="13" s="1"/>
  <c r="D160" i="13" s="1"/>
  <c r="F160" i="13" l="1"/>
  <c r="C161" i="13" s="1"/>
  <c r="D161" i="13" s="1"/>
  <c r="F161" i="13" l="1"/>
  <c r="C162" i="13" s="1"/>
  <c r="D162" i="13" s="1"/>
  <c r="F162" i="13" l="1"/>
  <c r="C163" i="13" s="1"/>
  <c r="D163" i="13" s="1"/>
  <c r="F163" i="13" l="1"/>
  <c r="C164" i="13" s="1"/>
  <c r="D164" i="13" s="1"/>
  <c r="F164" i="13" l="1"/>
  <c r="C165" i="13" s="1"/>
  <c r="D165" i="13" s="1"/>
  <c r="F165" i="13" l="1"/>
  <c r="C166" i="13" s="1"/>
  <c r="D166" i="13" s="1"/>
  <c r="F166" i="13" l="1"/>
  <c r="C167" i="13" s="1"/>
  <c r="D167" i="13" s="1"/>
  <c r="F167" i="13" l="1"/>
  <c r="C168" i="13" s="1"/>
  <c r="D168" i="13" s="1"/>
  <c r="F168" i="13" l="1"/>
  <c r="C169" i="13" s="1"/>
  <c r="D169" i="13" s="1"/>
  <c r="F169" i="13" l="1"/>
  <c r="C170" i="13" s="1"/>
  <c r="D170" i="13" s="1"/>
  <c r="F170" i="13" l="1"/>
  <c r="C171" i="13" s="1"/>
  <c r="D171" i="13" s="1"/>
  <c r="F171" i="13" l="1"/>
  <c r="C172" i="13" s="1"/>
  <c r="D172" i="13" s="1"/>
  <c r="F172" i="13" l="1"/>
  <c r="C173" i="13" s="1"/>
  <c r="D173" i="13" s="1"/>
  <c r="F173" i="13" l="1"/>
  <c r="C174" i="13" s="1"/>
  <c r="D174" i="13" s="1"/>
  <c r="F174" i="13" l="1"/>
  <c r="C175" i="13" s="1"/>
  <c r="D175" i="13" s="1"/>
  <c r="F175" i="13" l="1"/>
  <c r="C176" i="13" s="1"/>
  <c r="D176" i="13" s="1"/>
  <c r="F176" i="13" l="1"/>
  <c r="C177" i="13" s="1"/>
  <c r="D177" i="13" s="1"/>
  <c r="F177" i="13" l="1"/>
  <c r="C178" i="13" s="1"/>
  <c r="D178" i="13" s="1"/>
  <c r="F178" i="13" l="1"/>
  <c r="C179" i="13" s="1"/>
  <c r="D179" i="13" s="1"/>
  <c r="F179" i="13" l="1"/>
  <c r="C180" i="13" s="1"/>
  <c r="D180" i="13" s="1"/>
  <c r="F180" i="13" l="1"/>
  <c r="C181" i="13" s="1"/>
  <c r="D181" i="13" s="1"/>
  <c r="F181" i="13" l="1"/>
  <c r="C182" i="13" s="1"/>
  <c r="D182" i="13" s="1"/>
  <c r="F182" i="13" l="1"/>
  <c r="C183" i="13" s="1"/>
  <c r="D183" i="13" s="1"/>
  <c r="F183" i="13" l="1"/>
  <c r="C184" i="13" s="1"/>
  <c r="D184" i="13" s="1"/>
  <c r="F184" i="13" l="1"/>
  <c r="C185" i="13" s="1"/>
  <c r="D185" i="13" s="1"/>
  <c r="F185" i="13" l="1"/>
  <c r="C186" i="13" s="1"/>
  <c r="D186" i="13" s="1"/>
  <c r="F186" i="13" l="1"/>
  <c r="C187" i="13" s="1"/>
  <c r="D187" i="13" s="1"/>
  <c r="F187" i="13" l="1"/>
  <c r="C188" i="13" s="1"/>
  <c r="D188" i="13" s="1"/>
  <c r="F188" i="13" l="1"/>
  <c r="C189" i="13" s="1"/>
  <c r="D189" i="13" s="1"/>
  <c r="F189" i="13" l="1"/>
  <c r="C190" i="13" s="1"/>
  <c r="D190" i="13" s="1"/>
  <c r="F190" i="13" l="1"/>
  <c r="C191" i="13" s="1"/>
  <c r="D191" i="13" s="1"/>
  <c r="F191" i="13" l="1"/>
  <c r="C192" i="13" s="1"/>
  <c r="D192" i="13" s="1"/>
  <c r="F192" i="13" l="1"/>
  <c r="C193" i="13" s="1"/>
  <c r="D193" i="13" s="1"/>
  <c r="F193" i="13" l="1"/>
  <c r="C194" i="13" s="1"/>
  <c r="D194" i="13" s="1"/>
  <c r="F194" i="13" l="1"/>
  <c r="C195" i="13" s="1"/>
  <c r="D195" i="13" s="1"/>
  <c r="F195" i="13" l="1"/>
  <c r="C196" i="13" s="1"/>
  <c r="D196" i="13" s="1"/>
  <c r="F196" i="13" l="1"/>
  <c r="C197" i="13" s="1"/>
  <c r="D197" i="13" s="1"/>
  <c r="F197" i="13" l="1"/>
  <c r="C198" i="13" s="1"/>
  <c r="D198" i="13" s="1"/>
  <c r="F198" i="13" l="1"/>
  <c r="C199" i="13" s="1"/>
  <c r="D199" i="13" s="1"/>
  <c r="F199" i="13" l="1"/>
  <c r="C200" i="13" s="1"/>
  <c r="D200" i="13" s="1"/>
  <c r="F200" i="13" l="1"/>
  <c r="C201" i="13" s="1"/>
  <c r="D201" i="13" s="1"/>
  <c r="F201" i="13" l="1"/>
  <c r="C202" i="13" s="1"/>
  <c r="D202" i="13" s="1"/>
  <c r="F202" i="13" l="1"/>
  <c r="C203" i="13" s="1"/>
  <c r="D203" i="13" s="1"/>
  <c r="F203" i="13" l="1"/>
  <c r="C204" i="13" s="1"/>
  <c r="D204" i="13" s="1"/>
  <c r="F204" i="13" l="1"/>
  <c r="C205" i="13" s="1"/>
  <c r="D205" i="13" s="1"/>
  <c r="F205" i="13" l="1"/>
  <c r="C206" i="13" s="1"/>
  <c r="D206" i="13" s="1"/>
  <c r="F206" i="13" l="1"/>
  <c r="C207" i="13" s="1"/>
  <c r="D207" i="13" s="1"/>
  <c r="F207" i="13" l="1"/>
  <c r="C208" i="13" s="1"/>
  <c r="D208" i="13" s="1"/>
  <c r="F208" i="13" l="1"/>
  <c r="C209" i="13" s="1"/>
  <c r="D209" i="13" s="1"/>
  <c r="F209" i="13" l="1"/>
  <c r="C210" i="13" s="1"/>
  <c r="D210" i="13" s="1"/>
  <c r="F210" i="13" l="1"/>
  <c r="C211" i="13" s="1"/>
  <c r="D211" i="13" s="1"/>
  <c r="F211" i="13" l="1"/>
  <c r="C212" i="13" s="1"/>
  <c r="D212" i="13" s="1"/>
  <c r="F212" i="13" l="1"/>
  <c r="C213" i="13" s="1"/>
  <c r="D213" i="13" s="1"/>
  <c r="F213" i="13" l="1"/>
  <c r="C214" i="13" s="1"/>
  <c r="D214" i="13" s="1"/>
  <c r="F214" i="13" l="1"/>
  <c r="C215" i="13" s="1"/>
  <c r="D215" i="13" s="1"/>
  <c r="F215" i="13" l="1"/>
  <c r="C216" i="13" s="1"/>
  <c r="D216" i="13" s="1"/>
  <c r="F216" i="13" l="1"/>
  <c r="C217" i="13" s="1"/>
  <c r="D217" i="13" s="1"/>
  <c r="F217" i="13" l="1"/>
  <c r="C218" i="13" s="1"/>
  <c r="D218" i="13" s="1"/>
  <c r="F218" i="13" l="1"/>
  <c r="C219" i="13" s="1"/>
  <c r="D219" i="13" s="1"/>
  <c r="F219" i="13" l="1"/>
  <c r="C220" i="13" s="1"/>
  <c r="D220" i="13" s="1"/>
  <c r="F220" i="13" l="1"/>
  <c r="C221" i="13" s="1"/>
  <c r="D221" i="13" s="1"/>
  <c r="F221" i="13" l="1"/>
  <c r="C222" i="13" s="1"/>
  <c r="D222" i="13" s="1"/>
  <c r="F222" i="13" l="1"/>
  <c r="C223" i="13" s="1"/>
  <c r="D223" i="13" s="1"/>
  <c r="F223" i="13" l="1"/>
  <c r="C224" i="13" s="1"/>
  <c r="D224" i="13" s="1"/>
  <c r="F224" i="13" l="1"/>
  <c r="C225" i="13" s="1"/>
  <c r="D225" i="13" s="1"/>
  <c r="F225" i="13" l="1"/>
  <c r="C226" i="13" s="1"/>
  <c r="D226" i="13" s="1"/>
  <c r="F226" i="13" l="1"/>
  <c r="C227" i="13" s="1"/>
  <c r="D227" i="13" s="1"/>
  <c r="F227" i="13" l="1"/>
  <c r="C228" i="13" s="1"/>
  <c r="D228" i="13" s="1"/>
  <c r="F228" i="13" l="1"/>
  <c r="C229" i="13" s="1"/>
  <c r="D229" i="13" s="1"/>
  <c r="F229" i="13" l="1"/>
  <c r="C230" i="13" s="1"/>
  <c r="D230" i="13" s="1"/>
  <c r="F230" i="13" l="1"/>
  <c r="C231" i="13" s="1"/>
  <c r="D231" i="13" s="1"/>
  <c r="F231" i="13" l="1"/>
  <c r="C232" i="13" s="1"/>
  <c r="D232" i="13" s="1"/>
  <c r="F232" i="13" l="1"/>
  <c r="C233" i="13" s="1"/>
  <c r="D233" i="13" s="1"/>
  <c r="F233" i="13" l="1"/>
  <c r="C234" i="13" s="1"/>
  <c r="D234" i="13" s="1"/>
  <c r="F234" i="13" l="1"/>
  <c r="C235" i="13" s="1"/>
  <c r="D235" i="13" s="1"/>
  <c r="F235" i="13" l="1"/>
  <c r="C236" i="13" s="1"/>
  <c r="D236" i="13" s="1"/>
  <c r="F236" i="13" l="1"/>
  <c r="C237" i="13" s="1"/>
  <c r="D237" i="13" s="1"/>
  <c r="F237" i="13" l="1"/>
  <c r="C238" i="13" s="1"/>
  <c r="D238" i="13" s="1"/>
  <c r="F238" i="13" l="1"/>
  <c r="C239" i="13" s="1"/>
  <c r="D239" i="13" s="1"/>
  <c r="F239" i="13" l="1"/>
  <c r="C240" i="13" s="1"/>
  <c r="D240" i="13" s="1"/>
  <c r="F240" i="13" l="1"/>
  <c r="C241" i="13" s="1"/>
  <c r="D241" i="13" s="1"/>
  <c r="F241" i="13" l="1"/>
  <c r="C242" i="13" s="1"/>
  <c r="D242" i="13" s="1"/>
  <c r="F242" i="13" l="1"/>
  <c r="C243" i="13" s="1"/>
  <c r="D243" i="13" s="1"/>
  <c r="F243" i="13" l="1"/>
  <c r="C244" i="13" s="1"/>
  <c r="D244" i="13" s="1"/>
  <c r="F244" i="13" l="1"/>
  <c r="C245" i="13" s="1"/>
  <c r="D245" i="13" s="1"/>
  <c r="F245" i="13" l="1"/>
  <c r="C246" i="13" s="1"/>
  <c r="D246" i="13" s="1"/>
  <c r="F246" i="13" l="1"/>
  <c r="C247" i="13" s="1"/>
  <c r="D247" i="13" s="1"/>
  <c r="F247" i="13" l="1"/>
  <c r="C248" i="13" s="1"/>
  <c r="D248" i="13" s="1"/>
  <c r="F248" i="13" l="1"/>
  <c r="C249" i="13" s="1"/>
  <c r="D249" i="13" s="1"/>
  <c r="F249" i="13" l="1"/>
  <c r="C250" i="13" s="1"/>
  <c r="D250" i="13" s="1"/>
  <c r="F250" i="13" l="1"/>
  <c r="C251" i="13" s="1"/>
  <c r="D251" i="13" s="1"/>
  <c r="F251" i="13" l="1"/>
  <c r="C252" i="13" s="1"/>
  <c r="D252" i="13" s="1"/>
  <c r="F252" i="13" l="1"/>
  <c r="C253" i="13" s="1"/>
  <c r="D253" i="13" s="1"/>
  <c r="F253" i="13" l="1"/>
  <c r="C254" i="13" s="1"/>
  <c r="D254" i="13" s="1"/>
  <c r="F254" i="13" l="1"/>
  <c r="C255" i="13" s="1"/>
  <c r="D255" i="13" s="1"/>
  <c r="F255" i="13" l="1"/>
  <c r="C256" i="13" s="1"/>
  <c r="D256" i="13" s="1"/>
  <c r="F256" i="13" l="1"/>
  <c r="C257" i="13" s="1"/>
  <c r="D257" i="13" s="1"/>
  <c r="F257" i="13" l="1"/>
  <c r="C258" i="13" s="1"/>
  <c r="D258" i="13" s="1"/>
  <c r="F258" i="13" l="1"/>
  <c r="C259" i="13" s="1"/>
  <c r="D259" i="13" s="1"/>
  <c r="F259" i="13" l="1"/>
  <c r="C260" i="13" s="1"/>
  <c r="D260" i="13" s="1"/>
  <c r="F260" i="13" l="1"/>
  <c r="C261" i="13" s="1"/>
  <c r="D261" i="13" s="1"/>
  <c r="F261" i="13" l="1"/>
  <c r="C262" i="13" s="1"/>
  <c r="D262" i="13" s="1"/>
  <c r="F262" i="13" l="1"/>
  <c r="C263" i="13" s="1"/>
  <c r="D263" i="13" s="1"/>
  <c r="F263" i="13" l="1"/>
  <c r="C264" i="13" s="1"/>
  <c r="D264" i="13" s="1"/>
  <c r="F264" i="13" l="1"/>
  <c r="C265" i="13" s="1"/>
  <c r="D265" i="13" s="1"/>
  <c r="F265" i="13" l="1"/>
  <c r="C266" i="13" s="1"/>
  <c r="D266" i="13" s="1"/>
  <c r="F266" i="13" l="1"/>
  <c r="C267" i="13" s="1"/>
  <c r="D267" i="13" s="1"/>
  <c r="F267" i="13" l="1"/>
  <c r="C268" i="13" s="1"/>
  <c r="D268" i="13" s="1"/>
  <c r="F268" i="13" l="1"/>
  <c r="C269" i="13" s="1"/>
  <c r="D269" i="13" s="1"/>
  <c r="F269" i="13" l="1"/>
  <c r="C270" i="13" s="1"/>
  <c r="D270" i="13" s="1"/>
  <c r="F270" i="13" l="1"/>
  <c r="C271" i="13" s="1"/>
  <c r="D271" i="13" s="1"/>
  <c r="F271" i="13" l="1"/>
  <c r="C272" i="13" s="1"/>
  <c r="D272" i="13" s="1"/>
  <c r="F272" i="13" l="1"/>
  <c r="C273" i="13" s="1"/>
  <c r="D273" i="13" s="1"/>
  <c r="F273" i="13" l="1"/>
  <c r="C274" i="13" s="1"/>
  <c r="D274" i="13" s="1"/>
  <c r="F274" i="13" l="1"/>
  <c r="C275" i="13" s="1"/>
  <c r="D275" i="13" s="1"/>
  <c r="F275" i="13" l="1"/>
  <c r="C276" i="13" s="1"/>
  <c r="D276" i="13" s="1"/>
  <c r="F276" i="13" l="1"/>
  <c r="C277" i="13" s="1"/>
  <c r="D277" i="13" s="1"/>
  <c r="F277" i="13" l="1"/>
  <c r="C278" i="13" s="1"/>
  <c r="D278" i="13" s="1"/>
  <c r="F278" i="13" l="1"/>
  <c r="C279" i="13" s="1"/>
  <c r="D279" i="13" s="1"/>
  <c r="F279" i="13" l="1"/>
  <c r="C280" i="13" s="1"/>
  <c r="D280" i="13" s="1"/>
  <c r="F280" i="13" l="1"/>
  <c r="C281" i="13" s="1"/>
  <c r="D281" i="13" s="1"/>
  <c r="F281" i="13" l="1"/>
  <c r="C282" i="13" s="1"/>
  <c r="D282" i="13" s="1"/>
  <c r="F282" i="13" l="1"/>
  <c r="C283" i="13" s="1"/>
  <c r="D283" i="13" s="1"/>
  <c r="F283" i="13" l="1"/>
  <c r="C284" i="13" s="1"/>
  <c r="D284" i="13" s="1"/>
  <c r="F284" i="13" l="1"/>
  <c r="C285" i="13" s="1"/>
  <c r="D285" i="13" s="1"/>
  <c r="F285" i="13" l="1"/>
  <c r="C286" i="13" s="1"/>
  <c r="D286" i="13" s="1"/>
  <c r="F286" i="13" l="1"/>
  <c r="C287" i="13" s="1"/>
  <c r="D287" i="13" s="1"/>
  <c r="F287" i="13" l="1"/>
  <c r="C288" i="13" s="1"/>
  <c r="D288" i="13" s="1"/>
  <c r="F288" i="13" l="1"/>
  <c r="C289" i="13" s="1"/>
  <c r="D289" i="13" s="1"/>
  <c r="F289" i="13" l="1"/>
  <c r="C290" i="13" s="1"/>
  <c r="D290" i="13" s="1"/>
  <c r="F290" i="13" l="1"/>
  <c r="C291" i="13" s="1"/>
  <c r="D291" i="13" s="1"/>
  <c r="F291" i="13" l="1"/>
  <c r="C292" i="13" s="1"/>
  <c r="D292" i="13" s="1"/>
  <c r="F292" i="13" l="1"/>
  <c r="C293" i="13" s="1"/>
  <c r="D293" i="13" s="1"/>
  <c r="F293" i="13" l="1"/>
  <c r="C294" i="13" s="1"/>
  <c r="D294" i="13" s="1"/>
  <c r="F294" i="13" l="1"/>
  <c r="C295" i="13" s="1"/>
  <c r="D295" i="13" s="1"/>
  <c r="F295" i="13" l="1"/>
  <c r="C296" i="13" s="1"/>
  <c r="D296" i="13" s="1"/>
  <c r="F296" i="13" l="1"/>
  <c r="C297" i="13" s="1"/>
  <c r="D297" i="13" s="1"/>
  <c r="F297" i="13" l="1"/>
  <c r="C298" i="13" s="1"/>
  <c r="D298" i="13" s="1"/>
  <c r="F298" i="13" l="1"/>
  <c r="C299" i="13" s="1"/>
  <c r="D299" i="13" s="1"/>
  <c r="F299" i="13" l="1"/>
  <c r="C300" i="13" s="1"/>
  <c r="D300" i="13" s="1"/>
  <c r="F300" i="13" l="1"/>
  <c r="C301" i="13" s="1"/>
  <c r="D301" i="13" s="1"/>
  <c r="F301" i="13" l="1"/>
  <c r="C302" i="13" s="1"/>
  <c r="D302" i="13" s="1"/>
  <c r="F302" i="13" l="1"/>
  <c r="C303" i="13" s="1"/>
  <c r="D303" i="13" s="1"/>
  <c r="F303" i="13" l="1"/>
  <c r="C304" i="13" s="1"/>
  <c r="D304" i="13" s="1"/>
  <c r="F304" i="13" l="1"/>
  <c r="C305" i="13" s="1"/>
  <c r="D305" i="13" s="1"/>
  <c r="F305" i="13" l="1"/>
  <c r="C306" i="13" s="1"/>
  <c r="D306" i="13" s="1"/>
  <c r="F306" i="13" l="1"/>
  <c r="C307" i="13" s="1"/>
  <c r="D307" i="13" s="1"/>
  <c r="F307" i="13" l="1"/>
  <c r="C308" i="13" s="1"/>
  <c r="D308" i="13" s="1"/>
  <c r="F308" i="13" l="1"/>
  <c r="C309" i="13" s="1"/>
  <c r="D309" i="13" s="1"/>
  <c r="F309" i="13" l="1"/>
  <c r="C310" i="13" s="1"/>
  <c r="D310" i="13" s="1"/>
  <c r="F310" i="13" l="1"/>
  <c r="C311" i="13" s="1"/>
  <c r="D311" i="13" s="1"/>
  <c r="F311" i="13" l="1"/>
  <c r="C312" i="13" s="1"/>
  <c r="D312" i="13" s="1"/>
  <c r="F312" i="13" l="1"/>
  <c r="C313" i="13" s="1"/>
  <c r="D313" i="13" s="1"/>
  <c r="F313" i="13" l="1"/>
  <c r="C314" i="13" s="1"/>
  <c r="D314" i="13" s="1"/>
  <c r="F314" i="13" l="1"/>
  <c r="C315" i="13" s="1"/>
  <c r="D315" i="13" s="1"/>
  <c r="F315" i="13" l="1"/>
  <c r="C316" i="13" s="1"/>
  <c r="D316" i="13" s="1"/>
  <c r="F316" i="13" l="1"/>
  <c r="C317" i="13" s="1"/>
  <c r="D317" i="13" s="1"/>
  <c r="F317" i="13" l="1"/>
  <c r="C318" i="13" s="1"/>
  <c r="D318" i="13" s="1"/>
  <c r="F318" i="13" l="1"/>
  <c r="C319" i="13" s="1"/>
  <c r="D319" i="13" s="1"/>
  <c r="F319" i="13" l="1"/>
  <c r="C320" i="13" s="1"/>
  <c r="D320" i="13" s="1"/>
  <c r="F320" i="13" l="1"/>
  <c r="C321" i="13" s="1"/>
  <c r="D321" i="13" s="1"/>
  <c r="F321" i="13" l="1"/>
  <c r="C322" i="13" s="1"/>
  <c r="D322" i="13" s="1"/>
  <c r="F322" i="13" l="1"/>
  <c r="C323" i="13" s="1"/>
  <c r="D323" i="13" s="1"/>
  <c r="F323" i="13" l="1"/>
  <c r="C324" i="13" s="1"/>
  <c r="D324" i="13" s="1"/>
  <c r="F324" i="13" l="1"/>
  <c r="C325" i="13" s="1"/>
  <c r="D325" i="13" s="1"/>
  <c r="F325" i="13" l="1"/>
  <c r="C326" i="13" s="1"/>
  <c r="D326" i="13" s="1"/>
  <c r="F326" i="13" l="1"/>
  <c r="C327" i="13" s="1"/>
  <c r="D327" i="13" s="1"/>
  <c r="F327" i="13" l="1"/>
  <c r="C328" i="13" s="1"/>
  <c r="D328" i="13" s="1"/>
  <c r="F328" i="13" l="1"/>
  <c r="C329" i="13" s="1"/>
  <c r="D329" i="13" s="1"/>
  <c r="F329" i="13" l="1"/>
  <c r="C330" i="13" s="1"/>
  <c r="D330" i="13" s="1"/>
  <c r="F330" i="13" l="1"/>
  <c r="C331" i="13" s="1"/>
  <c r="D331" i="13" s="1"/>
  <c r="F331" i="13" l="1"/>
  <c r="C332" i="13" s="1"/>
  <c r="D332" i="13" s="1"/>
  <c r="F332" i="13" l="1"/>
  <c r="C333" i="13" s="1"/>
  <c r="D333" i="13" s="1"/>
  <c r="F333" i="13" l="1"/>
  <c r="C334" i="13" s="1"/>
  <c r="D334" i="13" s="1"/>
  <c r="F334" i="13" l="1"/>
  <c r="C335" i="13" s="1"/>
  <c r="D335" i="13" s="1"/>
  <c r="F335" i="13" l="1"/>
  <c r="C336" i="13" s="1"/>
  <c r="D336" i="13" s="1"/>
  <c r="F336" i="13" l="1"/>
  <c r="C337" i="13" s="1"/>
  <c r="D337" i="13" s="1"/>
  <c r="F337" i="13" l="1"/>
  <c r="C338" i="13" s="1"/>
  <c r="D338" i="13" s="1"/>
  <c r="F338" i="13" l="1"/>
  <c r="C339" i="13" s="1"/>
  <c r="D339" i="13" s="1"/>
  <c r="F339" i="13" l="1"/>
  <c r="C340" i="13" s="1"/>
  <c r="D340" i="13" s="1"/>
  <c r="F340" i="13" l="1"/>
  <c r="C341" i="13" s="1"/>
  <c r="D341" i="13" s="1"/>
  <c r="F341" i="13" l="1"/>
  <c r="C342" i="13" s="1"/>
  <c r="D342" i="13" s="1"/>
  <c r="F342" i="13" l="1"/>
  <c r="C343" i="13" s="1"/>
  <c r="D343" i="13" s="1"/>
  <c r="F343" i="13" l="1"/>
  <c r="C344" i="13" s="1"/>
  <c r="D344" i="13" s="1"/>
  <c r="F344" i="13" l="1"/>
  <c r="C345" i="13" s="1"/>
  <c r="D345" i="13" s="1"/>
  <c r="F345" i="13" l="1"/>
  <c r="C346" i="13" s="1"/>
  <c r="D346" i="13" s="1"/>
  <c r="F346" i="13" l="1"/>
  <c r="C347" i="13" s="1"/>
  <c r="D347" i="13" s="1"/>
  <c r="F347" i="13" l="1"/>
  <c r="C348" i="13" s="1"/>
  <c r="D348" i="13" s="1"/>
  <c r="F348" i="13" l="1"/>
  <c r="C349" i="13" s="1"/>
  <c r="D349" i="13" s="1"/>
  <c r="F349" i="13" l="1"/>
  <c r="C350" i="13" s="1"/>
  <c r="D350" i="13" s="1"/>
  <c r="F350" i="13" l="1"/>
  <c r="C351" i="13" s="1"/>
  <c r="D351" i="13" s="1"/>
  <c r="F351" i="13" l="1"/>
  <c r="C352" i="13" s="1"/>
  <c r="D352" i="13" s="1"/>
  <c r="F352" i="13" l="1"/>
  <c r="C353" i="13" s="1"/>
  <c r="D353" i="13" s="1"/>
  <c r="F353" i="13" l="1"/>
  <c r="C354" i="13" s="1"/>
  <c r="D354" i="13" s="1"/>
  <c r="F354" i="13" l="1"/>
  <c r="C355" i="13" s="1"/>
  <c r="D355" i="13" s="1"/>
  <c r="F355" i="13" l="1"/>
  <c r="C356" i="13" s="1"/>
  <c r="D356" i="13" s="1"/>
  <c r="F356" i="13" l="1"/>
  <c r="C357" i="13" s="1"/>
  <c r="D357" i="13" s="1"/>
  <c r="F357" i="13" l="1"/>
  <c r="C358" i="13" s="1"/>
  <c r="D358" i="13" s="1"/>
  <c r="F358" i="13" l="1"/>
  <c r="C359" i="13" s="1"/>
  <c r="D359" i="13" s="1"/>
  <c r="F359" i="13" l="1"/>
  <c r="C360" i="13" s="1"/>
  <c r="D360" i="13" s="1"/>
  <c r="F360" i="13" l="1"/>
  <c r="C361" i="13" s="1"/>
  <c r="D361" i="13" s="1"/>
  <c r="F361" i="13" l="1"/>
  <c r="C362" i="13" s="1"/>
  <c r="D362" i="13" s="1"/>
  <c r="F362" i="13" l="1"/>
  <c r="C363" i="13" s="1"/>
  <c r="D363" i="13" s="1"/>
  <c r="F363" i="13" l="1"/>
  <c r="C364" i="13" s="1"/>
  <c r="D364" i="13" s="1"/>
  <c r="F364" i="13" l="1"/>
  <c r="C365" i="13" s="1"/>
  <c r="D365" i="13" s="1"/>
  <c r="F365" i="13" l="1"/>
  <c r="C366" i="13" s="1"/>
  <c r="D366" i="13" s="1"/>
  <c r="F366" i="13" l="1"/>
  <c r="C367" i="13" s="1"/>
  <c r="D367" i="13" s="1"/>
  <c r="F367" i="13" l="1"/>
  <c r="C368" i="13" s="1"/>
  <c r="D368" i="13" s="1"/>
  <c r="F368" i="13" l="1"/>
  <c r="C369" i="13" s="1"/>
  <c r="D369" i="13" s="1"/>
  <c r="F369" i="13" l="1"/>
  <c r="C370" i="13" s="1"/>
  <c r="D370" i="13" s="1"/>
  <c r="F370" i="13" l="1"/>
  <c r="C371" i="13" s="1"/>
  <c r="D371" i="13" s="1"/>
  <c r="F371" i="13" l="1"/>
</calcChain>
</file>

<file path=xl/sharedStrings.xml><?xml version="1.0" encoding="utf-8"?>
<sst xmlns="http://schemas.openxmlformats.org/spreadsheetml/2006/main" count="38" uniqueCount="38">
  <si>
    <t>MATH 3550 Assignment 3</t>
  </si>
  <si>
    <t>Note:</t>
  </si>
  <si>
    <t>Cells filled in this color are the cells where you need to put a button or answer with numbers</t>
  </si>
  <si>
    <t>(1)</t>
  </si>
  <si>
    <t>We've gone through how to record a macro to solve payment for loans using GOALSEEK. In this assignment, your task is to apply recording macros to redo what we did on Assignment 1.</t>
  </si>
  <si>
    <t>(2)</t>
  </si>
  <si>
    <t>Similar to Assignment 1, you need to fill in the missing components for each loan listed in the "Answer Sheet" tab, but this time, you will need to create a macro to solve.</t>
  </si>
  <si>
    <t>(3)</t>
  </si>
  <si>
    <t>Create a macro and a button on the "LOAN CALCULATOR" tab, just like we did in class (I suggest you simply copy the code and adjust for this assignment). After creating the macro, simply change inputs and click your button to give you answers for Q1-3.</t>
  </si>
  <si>
    <t>(4)</t>
  </si>
  <si>
    <t>Create two more macros to solve Q4 and Q5 accordingly, creating buttons with assigned macros and putting them in the designed areas in the "LOAN CALCULATOR" tab. Use these two macros to get the answers for Q4 and Q5, respectively.</t>
  </si>
  <si>
    <t>Hint:</t>
  </si>
  <si>
    <t xml:space="preserve">There are two ways to do step (4): First, you can record macros to create them. Second, you can code the 2 macros by copying and modifiying your existing VBA code (I challenge you to do this!). </t>
  </si>
  <si>
    <t>Loan Principal:</t>
  </si>
  <si>
    <t>Annual Int Rate (APR):</t>
  </si>
  <si>
    <t>(mthly int rate)</t>
  </si>
  <si>
    <t>(Put a button here with a macro used to solve Q1-3)</t>
  </si>
  <si>
    <t>(Put a button here with a macro used to solve Loan Principal (Q4))</t>
  </si>
  <si>
    <t>(Put a button here with a macro used to solve for Annual Interest Rate (Q5))</t>
  </si>
  <si>
    <t>Length of Term (mths):</t>
  </si>
  <si>
    <t>Balance:</t>
  </si>
  <si>
    <t>Payment Amount:</t>
  </si>
  <si>
    <t>Month</t>
  </si>
  <si>
    <t>Starting Balance</t>
  </si>
  <si>
    <t>Interest</t>
  </si>
  <si>
    <t>Payment</t>
  </si>
  <si>
    <t>Ending Balance</t>
  </si>
  <si>
    <t>Use the macros you created on "LOAN CALCULATOR" tab, fill in the following missing components for each loan.</t>
  </si>
  <si>
    <t>Loan Principal</t>
  </si>
  <si>
    <t>Annual
Int Rate</t>
  </si>
  <si>
    <t>Length (months)</t>
  </si>
  <si>
    <t>Monthly Payment</t>
  </si>
  <si>
    <t>Total of Payments</t>
  </si>
  <si>
    <t>Q1</t>
  </si>
  <si>
    <t>Q2</t>
  </si>
  <si>
    <t>Q3</t>
  </si>
  <si>
    <t>Q4</t>
  </si>
  <si>
    <t>Q5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</si>
</sst>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quot;$&quot;#,##0.00"/>
  </numFmts>
  <fonts count="17" x14ac:knownFonts="1">
    <font>
      <sz val="10"/>
      <name val="Arial"/>
    </font>
    <font>
      <sz val="11"/>
      <color theme="1"/>
      <name val="Calibri"/>
      <family val="2"/>
      <scheme val="minor"/>
    </font>
    <font>
      <sz val="11"/>
      <color theme="1"/>
      <name val="Calibri"/>
      <family val="2"/>
      <scheme val="minor"/>
    </font>
    <font>
      <sz val="10"/>
      <name val="Arial"/>
      <family val="2"/>
    </font>
    <font>
      <sz val="11"/>
      <name val="Calibri"/>
      <family val="2"/>
      <scheme val="minor"/>
    </font>
    <font>
      <sz val="9"/>
      <color theme="1"/>
      <name val="Calibri"/>
      <family val="2"/>
      <scheme val="minor"/>
    </font>
    <font>
      <b/>
      <sz val="10"/>
      <name val="Arial"/>
      <family val="2"/>
    </font>
    <font>
      <b/>
      <u/>
      <sz val="11"/>
      <name val="Arial"/>
      <family val="2"/>
    </font>
    <font>
      <b/>
      <u/>
      <sz val="14"/>
      <name val="Arial"/>
      <family val="2"/>
    </font>
    <font>
      <b/>
      <sz val="12"/>
      <name val="Arial"/>
      <family val="2"/>
    </font>
    <font>
      <sz val="12"/>
      <name val="Arial"/>
      <family val="2"/>
    </font>
    <font>
      <sz val="12"/>
      <color theme="1" tint="0.499984740745262"/>
      <name val="Arial"/>
      <family val="2"/>
    </font>
    <font>
      <sz val="12"/>
      <color rgb="FF0070C0"/>
      <name val="Arial"/>
      <family val="2"/>
    </font>
    <font>
      <b/>
      <sz val="11"/>
      <color theme="1"/>
      <name val="Calibri"/>
      <family val="2"/>
      <scheme val="minor"/>
    </font>
    <font>
      <b/>
      <i/>
      <u/>
      <sz val="10"/>
      <name val="Arial"/>
      <family val="2"/>
    </font>
    <font>
      <b/>
      <u/>
      <sz val="12"/>
      <name val="Arial"/>
      <family val="2"/>
    </font>
    <font>
      <b/>
      <sz val="20"/>
      <color rgb="FFC00000"/>
      <name val="Arial"/>
      <family val="2"/>
    </font>
  </fonts>
  <fills count="7">
    <fill>
      <patternFill patternType="none"/>
    </fill>
    <fill>
      <patternFill patternType="gray125"/>
    </fill>
    <fill>
      <patternFill patternType="solid">
        <fgColor rgb="FF89CAE7"/>
        <bgColor indexed="64"/>
      </patternFill>
    </fill>
    <fill>
      <patternFill patternType="solid">
        <fgColor theme="6" tint="0.39997558519241921"/>
        <bgColor indexed="64"/>
      </patternFill>
    </fill>
    <fill>
      <patternFill patternType="solid">
        <fgColor rgb="FFFFFF99"/>
        <bgColor indexed="64"/>
      </patternFill>
    </fill>
    <fill>
      <patternFill patternType="solid">
        <fgColor theme="9" tint="0.39997558519241921"/>
        <bgColor indexed="64"/>
      </patternFill>
    </fill>
    <fill>
      <patternFill patternType="solid">
        <fgColor theme="6"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0" fontId="0" fillId="0" borderId="0"/>
    <xf numFmtId="9" fontId="3" fillId="0" borderId="0" applyFont="0" applyFill="0" applyBorder="0" applyAlignment="0" applyProtection="0"/>
    <xf numFmtId="0" fontId="2" fillId="0" borderId="0"/>
    <xf numFmtId="43" fontId="2" fillId="0" borderId="0" applyFont="0" applyFill="0" applyBorder="0" applyAlignment="0" applyProtection="0"/>
    <xf numFmtId="0" fontId="3" fillId="0" borderId="0"/>
  </cellStyleXfs>
  <cellXfs count="57">
    <xf numFmtId="0" fontId="0" fillId="0" borderId="0" xfId="0"/>
    <xf numFmtId="0" fontId="2" fillId="0" borderId="0" xfId="2" applyAlignment="1">
      <alignment horizontal="right"/>
    </xf>
    <xf numFmtId="0" fontId="2" fillId="0" borderId="0" xfId="2"/>
    <xf numFmtId="39" fontId="4" fillId="0" borderId="0" xfId="2" applyNumberFormat="1" applyFont="1"/>
    <xf numFmtId="0" fontId="13" fillId="0" borderId="0" xfId="2" applyFont="1" applyAlignment="1">
      <alignment horizontal="center" vertical="center" wrapText="1"/>
    </xf>
    <xf numFmtId="164" fontId="10" fillId="0" borderId="0" xfId="0" applyNumberFormat="1" applyFont="1" applyAlignment="1">
      <alignment horizontal="center"/>
    </xf>
    <xf numFmtId="10" fontId="10" fillId="0" borderId="0" xfId="0" applyNumberFormat="1" applyFont="1" applyAlignment="1">
      <alignment horizontal="center"/>
    </xf>
    <xf numFmtId="0" fontId="10" fillId="0" borderId="0" xfId="0" applyFont="1" applyAlignment="1">
      <alignment horizontal="center"/>
    </xf>
    <xf numFmtId="164" fontId="11" fillId="0" borderId="7" xfId="0" applyNumberFormat="1" applyFont="1" applyBorder="1" applyAlignment="1">
      <alignment horizontal="center"/>
    </xf>
    <xf numFmtId="164" fontId="12" fillId="0" borderId="0" xfId="0" applyNumberFormat="1" applyFont="1" applyAlignment="1">
      <alignment horizontal="center"/>
    </xf>
    <xf numFmtId="164" fontId="10" fillId="0" borderId="9" xfId="0" applyNumberFormat="1" applyFont="1" applyBorder="1" applyAlignment="1">
      <alignment horizontal="center"/>
    </xf>
    <xf numFmtId="0" fontId="10" fillId="0" borderId="9" xfId="0" applyFont="1" applyBorder="1" applyAlignment="1">
      <alignment horizontal="center"/>
    </xf>
    <xf numFmtId="164" fontId="11" fillId="0" borderId="10" xfId="0" applyNumberFormat="1" applyFont="1" applyBorder="1" applyAlignment="1">
      <alignment horizontal="center"/>
    </xf>
    <xf numFmtId="0" fontId="9" fillId="0" borderId="12" xfId="0" applyFont="1" applyBorder="1" applyAlignment="1">
      <alignment horizontal="center" vertical="center" wrapText="1"/>
    </xf>
    <xf numFmtId="0" fontId="9" fillId="0" borderId="13" xfId="0" applyFont="1" applyBorder="1" applyAlignment="1">
      <alignment horizontal="center" vertical="center" wrapText="1"/>
    </xf>
    <xf numFmtId="0" fontId="0" fillId="0" borderId="1" xfId="0" applyBorder="1"/>
    <xf numFmtId="0" fontId="10" fillId="0" borderId="11" xfId="0" applyFont="1" applyBorder="1" applyAlignment="1">
      <alignment horizontal="right"/>
    </xf>
    <xf numFmtId="0" fontId="10" fillId="0" borderId="14" xfId="0" applyFont="1" applyBorder="1" applyAlignment="1">
      <alignment horizontal="right"/>
    </xf>
    <xf numFmtId="39" fontId="4" fillId="3" borderId="2" xfId="3" applyNumberFormat="1" applyFont="1" applyFill="1" applyBorder="1" applyAlignment="1">
      <alignment horizontal="center"/>
    </xf>
    <xf numFmtId="39" fontId="4" fillId="5" borderId="2" xfId="3" applyNumberFormat="1" applyFont="1" applyFill="1" applyBorder="1" applyAlignment="1">
      <alignment horizontal="center"/>
    </xf>
    <xf numFmtId="0" fontId="15" fillId="0" borderId="0" xfId="0" applyFont="1"/>
    <xf numFmtId="10" fontId="5" fillId="2" borderId="1" xfId="2" applyNumberFormat="1" applyFont="1" applyFill="1" applyBorder="1" applyAlignment="1">
      <alignment horizontal="center" vertical="center"/>
    </xf>
    <xf numFmtId="0" fontId="8" fillId="0" borderId="0" xfId="4" applyFont="1"/>
    <xf numFmtId="0" fontId="3" fillId="0" borderId="0" xfId="4"/>
    <xf numFmtId="0" fontId="3" fillId="0" borderId="0" xfId="4" applyAlignment="1">
      <alignment horizontal="left" vertical="center"/>
    </xf>
    <xf numFmtId="0" fontId="6" fillId="0" borderId="0" xfId="4" applyFont="1"/>
    <xf numFmtId="0" fontId="3" fillId="0" borderId="0" xfId="4" applyAlignment="1">
      <alignment vertical="center" wrapText="1"/>
    </xf>
    <xf numFmtId="0" fontId="7" fillId="0" borderId="0" xfId="4" applyFont="1" applyAlignment="1">
      <alignment horizontal="center"/>
    </xf>
    <xf numFmtId="0" fontId="6" fillId="0" borderId="0" xfId="4" quotePrefix="1" applyFont="1" applyAlignment="1">
      <alignment horizontal="center" vertical="center"/>
    </xf>
    <xf numFmtId="0" fontId="6" fillId="0" borderId="0" xfId="4" applyFont="1" applyAlignment="1">
      <alignment horizontal="center" vertical="center"/>
    </xf>
    <xf numFmtId="0" fontId="16" fillId="0" borderId="0" xfId="0" applyFont="1"/>
    <xf numFmtId="164" fontId="9" fillId="6" borderId="11" xfId="0" applyNumberFormat="1" applyFont="1" applyFill="1" applyBorder="1" applyAlignment="1">
      <alignment horizontal="center"/>
    </xf>
    <xf numFmtId="164" fontId="9" fillId="6" borderId="1" xfId="0" applyNumberFormat="1" applyFont="1" applyFill="1" applyBorder="1" applyAlignment="1">
      <alignment horizontal="center"/>
    </xf>
    <xf numFmtId="10" fontId="9" fillId="6" borderId="1" xfId="1" applyNumberFormat="1" applyFont="1" applyFill="1" applyBorder="1" applyAlignment="1">
      <alignment horizontal="center"/>
    </xf>
    <xf numFmtId="164" fontId="9" fillId="6" borderId="13" xfId="0" applyNumberFormat="1" applyFont="1" applyFill="1" applyBorder="1" applyAlignment="1">
      <alignment horizontal="center"/>
    </xf>
    <xf numFmtId="0" fontId="1" fillId="0" borderId="0" xfId="2" applyFont="1" applyAlignment="1">
      <alignment horizontal="right"/>
    </xf>
    <xf numFmtId="0" fontId="1" fillId="0" borderId="0" xfId="2" applyFont="1"/>
    <xf numFmtId="0" fontId="1" fillId="0" borderId="0" xfId="2" applyFont="1" applyAlignment="1">
      <alignment horizontal="center"/>
    </xf>
    <xf numFmtId="10" fontId="1" fillId="2" borderId="2" xfId="2" applyNumberFormat="1" applyFont="1" applyFill="1" applyBorder="1" applyAlignment="1">
      <alignment horizontal="center"/>
    </xf>
    <xf numFmtId="10" fontId="1" fillId="2" borderId="1" xfId="2" applyNumberFormat="1" applyFont="1" applyFill="1" applyBorder="1" applyAlignment="1">
      <alignment horizontal="center"/>
    </xf>
    <xf numFmtId="0" fontId="1" fillId="4" borderId="2" xfId="2" applyFont="1" applyFill="1" applyBorder="1" applyAlignment="1">
      <alignment horizontal="center"/>
    </xf>
    <xf numFmtId="2" fontId="1" fillId="4" borderId="2" xfId="2" applyNumberFormat="1" applyFont="1" applyFill="1" applyBorder="1" applyAlignment="1">
      <alignment horizontal="center"/>
    </xf>
    <xf numFmtId="39" fontId="1" fillId="0" borderId="0" xfId="2" applyNumberFormat="1" applyFont="1"/>
    <xf numFmtId="0" fontId="14" fillId="0" borderId="0" xfId="4" applyFont="1" applyAlignment="1">
      <alignment horizontal="center" vertical="center"/>
    </xf>
    <xf numFmtId="0" fontId="3" fillId="0" borderId="0" xfId="4" applyAlignment="1">
      <alignment horizontal="left" vertical="center" wrapText="1"/>
    </xf>
    <xf numFmtId="0" fontId="3" fillId="6" borderId="15" xfId="4" applyFill="1" applyBorder="1" applyAlignment="1">
      <alignment horizontal="center" vertical="center"/>
    </xf>
    <xf numFmtId="0" fontId="3" fillId="6" borderId="16" xfId="4" applyFill="1" applyBorder="1" applyAlignment="1">
      <alignment horizontal="center" vertical="center"/>
    </xf>
    <xf numFmtId="0" fontId="3" fillId="6" borderId="17" xfId="4" applyFill="1" applyBorder="1" applyAlignment="1">
      <alignment horizontal="center" vertical="center"/>
    </xf>
    <xf numFmtId="0" fontId="1" fillId="6" borderId="3" xfId="2" applyFont="1" applyFill="1" applyBorder="1" applyAlignment="1">
      <alignment horizontal="center" vertical="center" wrapText="1"/>
    </xf>
    <xf numFmtId="0" fontId="1" fillId="6" borderId="4" xfId="2" applyFont="1" applyFill="1" applyBorder="1" applyAlignment="1">
      <alignment horizontal="center" vertical="center" wrapText="1"/>
    </xf>
    <xf numFmtId="0" fontId="1" fillId="6" borderId="5" xfId="2" applyFont="1" applyFill="1" applyBorder="1" applyAlignment="1">
      <alignment horizontal="center" vertical="center" wrapText="1"/>
    </xf>
    <xf numFmtId="0" fontId="1" fillId="6" borderId="6" xfId="2" applyFont="1" applyFill="1" applyBorder="1" applyAlignment="1">
      <alignment horizontal="center" vertical="center" wrapText="1"/>
    </xf>
    <xf numFmtId="0" fontId="1" fillId="6" borderId="0" xfId="2" applyFont="1" applyFill="1" applyAlignment="1">
      <alignment horizontal="center" vertical="center" wrapText="1"/>
    </xf>
    <xf numFmtId="0" fontId="1" fillId="6" borderId="7" xfId="2" applyFont="1" applyFill="1" applyBorder="1" applyAlignment="1">
      <alignment horizontal="center" vertical="center" wrapText="1"/>
    </xf>
    <xf numFmtId="0" fontId="1" fillId="6" borderId="8" xfId="2" applyFont="1" applyFill="1" applyBorder="1" applyAlignment="1">
      <alignment horizontal="center" vertical="center" wrapText="1"/>
    </xf>
    <xf numFmtId="0" fontId="1" fillId="6" borderId="9" xfId="2" applyFont="1" applyFill="1" applyBorder="1" applyAlignment="1">
      <alignment horizontal="center" vertical="center" wrapText="1"/>
    </xf>
    <xf numFmtId="0" fontId="1" fillId="6" borderId="10" xfId="2" applyFont="1" applyFill="1" applyBorder="1" applyAlignment="1">
      <alignment horizontal="center" vertical="center" wrapText="1"/>
    </xf>
  </cellXfs>
  <cellStyles count="5">
    <cellStyle name="Comma 2" xfId="3" xr:uid="{00000000-0005-0000-0000-000000000000}"/>
    <cellStyle name="Normal" xfId="0" builtinId="0"/>
    <cellStyle name="Normal 2" xfId="2" xr:uid="{00000000-0005-0000-0000-000002000000}"/>
    <cellStyle name="Normal 3" xfId="4" xr:uid="{52FE3165-3C3D-407F-9AB2-70F0E27DA7E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10583</xdr:colOff>
          <xdr:row>4</xdr:row>
          <xdr:rowOff>10582</xdr:rowOff>
        </xdr:from>
        <xdr:to>
          <xdr:col>10</xdr:col>
          <xdr:colOff>0</xdr:colOff>
          <xdr:row>7</xdr:row>
          <xdr:rowOff>190499</xdr:rowOff>
        </xdr:to>
        <xdr:sp macro="" textlink="">
          <xdr:nvSpPr>
            <xdr:cNvPr id="2049" name="Button 1" hidden="1">
              <a:extLst>
                <a:ext uri="{63B3BB69-23CF-44E3-9099-C40C66FF867C}">
                  <a14:compatExt spid="_x0000_s2049"/>
                </a:ext>
                <a:ext uri="{FF2B5EF4-FFF2-40B4-BE49-F238E27FC236}">
                  <a16:creationId xmlns:a16="http://schemas.microsoft.com/office/drawing/2014/main" id="{24EAC43E-067A-E9BF-FE91-29C8A417CC3B}"/>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charset="0"/>
                  <a:cs typeface="Arial" charset="0"/>
                </a:rPr>
                <a:t>Q1-3</a:t>
              </a:r>
            </a:p>
            <a:p>
              <a:pPr algn="ctr" rtl="0">
                <a:defRPr sz="1000"/>
              </a:pPr>
              <a:r>
                <a:rPr lang="en-US" sz="1000" b="0" i="0" u="none" strike="noStrike" baseline="0">
                  <a:solidFill>
                    <a:srgbClr val="000000"/>
                  </a:solidFill>
                  <a:latin typeface="Arial" charset="0"/>
                  <a:cs typeface="Arial" charset="0"/>
                </a:rPr>
                <a:t>(Solve for Monthly Payment)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12698</xdr:colOff>
          <xdr:row>4</xdr:row>
          <xdr:rowOff>21167</xdr:rowOff>
        </xdr:from>
        <xdr:to>
          <xdr:col>13</xdr:col>
          <xdr:colOff>677332</xdr:colOff>
          <xdr:row>7</xdr:row>
          <xdr:rowOff>190499</xdr:rowOff>
        </xdr:to>
        <xdr:sp macro="" textlink="">
          <xdr:nvSpPr>
            <xdr:cNvPr id="2050" name="Button 2" hidden="1">
              <a:extLst>
                <a:ext uri="{63B3BB69-23CF-44E3-9099-C40C66FF867C}">
                  <a14:compatExt spid="_x0000_s2050"/>
                </a:ext>
                <a:ext uri="{FF2B5EF4-FFF2-40B4-BE49-F238E27FC236}">
                  <a16:creationId xmlns:a16="http://schemas.microsoft.com/office/drawing/2014/main" id="{07B749F2-C9A2-97E5-EEEF-B46E2A7CF99C}"/>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charset="0"/>
                  <a:cs typeface="Arial" charset="0"/>
                </a:rPr>
                <a:t>Q4</a:t>
              </a:r>
            </a:p>
            <a:p>
              <a:pPr algn="ctr" rtl="0">
                <a:defRPr sz="1000"/>
              </a:pPr>
              <a:r>
                <a:rPr lang="en-US" sz="1000" b="0" i="0" u="none" strike="noStrike" baseline="0">
                  <a:solidFill>
                    <a:srgbClr val="000000"/>
                  </a:solidFill>
                  <a:latin typeface="Arial" charset="0"/>
                  <a:cs typeface="Arial" charset="0"/>
                </a:rPr>
                <a:t>(Solve for Loan Principal)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12700</xdr:colOff>
          <xdr:row>4</xdr:row>
          <xdr:rowOff>16932</xdr:rowOff>
        </xdr:from>
        <xdr:to>
          <xdr:col>18</xdr:col>
          <xdr:colOff>0</xdr:colOff>
          <xdr:row>7</xdr:row>
          <xdr:rowOff>190499</xdr:rowOff>
        </xdr:to>
        <xdr:sp macro="" textlink="">
          <xdr:nvSpPr>
            <xdr:cNvPr id="2051" name="Button 3" hidden="1">
              <a:extLst>
                <a:ext uri="{63B3BB69-23CF-44E3-9099-C40C66FF867C}">
                  <a14:compatExt spid="_x0000_s2051"/>
                </a:ext>
                <a:ext uri="{FF2B5EF4-FFF2-40B4-BE49-F238E27FC236}">
                  <a16:creationId xmlns:a16="http://schemas.microsoft.com/office/drawing/2014/main" id="{B98CD21C-D2B8-205F-9B27-77F3706635A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charset="0"/>
                  <a:cs typeface="Arial" charset="0"/>
                </a:rPr>
                <a:t>Q5</a:t>
              </a:r>
            </a:p>
            <a:p>
              <a:pPr algn="ctr" rtl="0">
                <a:defRPr sz="1000"/>
              </a:pPr>
              <a:r>
                <a:rPr lang="en-US" sz="1000" b="0" i="0" u="none" strike="noStrike" baseline="0">
                  <a:solidFill>
                    <a:srgbClr val="000000"/>
                  </a:solidFill>
                  <a:latin typeface="Arial" charset="0"/>
                  <a:cs typeface="Arial" charset="0"/>
                </a:rPr>
                <a:t>(Solve for APR) </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Graduate%20Study/Teaching/MATH%203550%20Programming%20for%20Actuaries/Math_3550_Week_08_HW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LOAN CALCULATOR"/>
      <sheetName val="Answer Sheet"/>
    </sheetNames>
    <sheetDataSet>
      <sheetData sheetId="0"/>
      <sheetData sheetId="1"/>
      <sheetData sheetId="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5E457-4E08-4C8E-B039-8AD515FD179D}">
  <sheetPr codeName="Sheet1"/>
  <dimension ref="A1:M16"/>
  <sheetViews>
    <sheetView showGridLines="0" tabSelected="1" zoomScale="170" zoomScaleNormal="120" workbookViewId="0">
      <selection activeCell="B11" sqref="B11:M11"/>
    </sheetView>
  </sheetViews>
  <sheetFormatPr baseColWidth="10" defaultColWidth="8.83203125" defaultRowHeight="13" x14ac:dyDescent="0.15"/>
  <cols>
    <col min="1" max="1" width="11.5" style="25" customWidth="1"/>
    <col min="2" max="13" width="7.5" style="23" customWidth="1"/>
    <col min="14" max="17" width="7" style="23" customWidth="1"/>
    <col min="18" max="16384" width="8.83203125" style="23"/>
  </cols>
  <sheetData>
    <row r="1" spans="1:13" ht="25" x14ac:dyDescent="0.25">
      <c r="A1" s="30" t="s">
        <v>0</v>
      </c>
    </row>
    <row r="2" spans="1:13" ht="19" thickBot="1" x14ac:dyDescent="0.25">
      <c r="A2" s="22"/>
    </row>
    <row r="3" spans="1:13" ht="15" thickBot="1" x14ac:dyDescent="0.2">
      <c r="A3" s="27" t="s">
        <v>1</v>
      </c>
      <c r="B3" s="45" t="s">
        <v>2</v>
      </c>
      <c r="C3" s="46"/>
      <c r="D3" s="46"/>
      <c r="E3" s="46"/>
      <c r="F3" s="46"/>
      <c r="G3" s="46"/>
      <c r="H3" s="46"/>
      <c r="I3" s="46"/>
      <c r="J3" s="46"/>
      <c r="K3" s="46"/>
      <c r="L3" s="46"/>
      <c r="M3" s="47"/>
    </row>
    <row r="5" spans="1:13" ht="41.5" customHeight="1" x14ac:dyDescent="0.15">
      <c r="A5" s="28" t="s">
        <v>3</v>
      </c>
      <c r="B5" s="44" t="s">
        <v>4</v>
      </c>
      <c r="C5" s="44"/>
      <c r="D5" s="44"/>
      <c r="E5" s="44"/>
      <c r="F5" s="44"/>
      <c r="G5" s="44"/>
      <c r="H5" s="44"/>
      <c r="I5" s="44"/>
      <c r="J5" s="44"/>
      <c r="K5" s="44"/>
      <c r="L5" s="44"/>
      <c r="M5" s="44"/>
    </row>
    <row r="6" spans="1:13" x14ac:dyDescent="0.15">
      <c r="A6" s="29"/>
      <c r="B6" s="24"/>
      <c r="C6" s="24"/>
      <c r="D6" s="24"/>
      <c r="E6" s="24"/>
      <c r="F6" s="24"/>
      <c r="G6" s="24"/>
      <c r="H6" s="24"/>
      <c r="I6" s="24"/>
      <c r="J6" s="24"/>
      <c r="K6" s="24"/>
      <c r="L6" s="24"/>
      <c r="M6" s="24"/>
    </row>
    <row r="7" spans="1:13" ht="30.5" customHeight="1" x14ac:dyDescent="0.15">
      <c r="A7" s="28" t="s">
        <v>5</v>
      </c>
      <c r="B7" s="44" t="s">
        <v>6</v>
      </c>
      <c r="C7" s="44"/>
      <c r="D7" s="44"/>
      <c r="E7" s="44"/>
      <c r="F7" s="44"/>
      <c r="G7" s="44"/>
      <c r="H7" s="44"/>
      <c r="I7" s="44"/>
      <c r="J7" s="44"/>
      <c r="K7" s="44"/>
      <c r="L7" s="44"/>
      <c r="M7" s="44"/>
    </row>
    <row r="8" spans="1:13" x14ac:dyDescent="0.15">
      <c r="A8" s="29"/>
      <c r="B8" s="24"/>
      <c r="C8" s="24"/>
      <c r="D8" s="24"/>
      <c r="E8" s="24"/>
      <c r="F8" s="24"/>
      <c r="G8" s="24"/>
      <c r="H8" s="24"/>
      <c r="I8" s="24"/>
      <c r="J8" s="24"/>
      <c r="K8" s="24"/>
      <c r="L8" s="24"/>
      <c r="M8" s="24"/>
    </row>
    <row r="9" spans="1:13" ht="43.25" customHeight="1" x14ac:dyDescent="0.15">
      <c r="A9" s="28" t="s">
        <v>7</v>
      </c>
      <c r="B9" s="44" t="s">
        <v>8</v>
      </c>
      <c r="C9" s="44"/>
      <c r="D9" s="44"/>
      <c r="E9" s="44"/>
      <c r="F9" s="44"/>
      <c r="G9" s="44"/>
      <c r="H9" s="44"/>
      <c r="I9" s="44"/>
      <c r="J9" s="44"/>
      <c r="K9" s="44"/>
      <c r="L9" s="44"/>
      <c r="M9" s="44"/>
    </row>
    <row r="10" spans="1:13" x14ac:dyDescent="0.15">
      <c r="A10" s="29"/>
      <c r="B10" s="24"/>
      <c r="C10" s="24"/>
      <c r="D10" s="24"/>
      <c r="E10" s="24"/>
      <c r="F10" s="24"/>
      <c r="G10" s="24"/>
      <c r="H10" s="24"/>
      <c r="I10" s="24"/>
      <c r="J10" s="24"/>
      <c r="K10" s="24"/>
      <c r="L10" s="24"/>
      <c r="M10" s="24"/>
    </row>
    <row r="11" spans="1:13" ht="42" customHeight="1" x14ac:dyDescent="0.15">
      <c r="A11" s="28" t="s">
        <v>9</v>
      </c>
      <c r="B11" s="44" t="s">
        <v>10</v>
      </c>
      <c r="C11" s="44"/>
      <c r="D11" s="44"/>
      <c r="E11" s="44"/>
      <c r="F11" s="44"/>
      <c r="G11" s="44"/>
      <c r="H11" s="44"/>
      <c r="I11" s="44"/>
      <c r="J11" s="44"/>
      <c r="K11" s="44"/>
      <c r="L11" s="44"/>
      <c r="M11" s="44"/>
    </row>
    <row r="13" spans="1:13" ht="13.25" customHeight="1" x14ac:dyDescent="0.15">
      <c r="A13" s="43" t="s">
        <v>11</v>
      </c>
      <c r="B13" s="44" t="s">
        <v>12</v>
      </c>
      <c r="C13" s="44"/>
      <c r="D13" s="44"/>
      <c r="E13" s="44"/>
      <c r="F13" s="44"/>
      <c r="G13" s="44"/>
      <c r="H13" s="44"/>
      <c r="I13" s="44"/>
      <c r="J13" s="44"/>
      <c r="K13" s="44"/>
      <c r="L13" s="44"/>
      <c r="M13" s="44"/>
    </row>
    <row r="14" spans="1:13" x14ac:dyDescent="0.15">
      <c r="A14" s="43"/>
      <c r="B14" s="44"/>
      <c r="C14" s="44"/>
      <c r="D14" s="44"/>
      <c r="E14" s="44"/>
      <c r="F14" s="44"/>
      <c r="G14" s="44"/>
      <c r="H14" s="44"/>
      <c r="I14" s="44"/>
      <c r="J14" s="44"/>
      <c r="K14" s="44"/>
      <c r="L14" s="44"/>
      <c r="M14" s="44"/>
    </row>
    <row r="15" spans="1:13" x14ac:dyDescent="0.15">
      <c r="A15" s="43"/>
      <c r="B15" s="44"/>
      <c r="C15" s="44"/>
      <c r="D15" s="44"/>
      <c r="E15" s="44"/>
      <c r="F15" s="44"/>
      <c r="G15" s="44"/>
      <c r="H15" s="44"/>
      <c r="I15" s="44"/>
      <c r="J15" s="44"/>
      <c r="K15" s="44"/>
      <c r="L15" s="44"/>
      <c r="M15" s="44"/>
    </row>
    <row r="16" spans="1:13" x14ac:dyDescent="0.15">
      <c r="B16" s="26"/>
      <c r="C16" s="26"/>
      <c r="D16" s="26"/>
      <c r="E16" s="26"/>
      <c r="F16" s="26"/>
      <c r="G16" s="26"/>
      <c r="H16" s="26"/>
      <c r="I16" s="26"/>
      <c r="J16" s="26"/>
      <c r="K16" s="26"/>
      <c r="L16" s="26"/>
      <c r="M16" s="26"/>
    </row>
  </sheetData>
  <mergeCells count="7">
    <mergeCell ref="A13:A15"/>
    <mergeCell ref="B13:M15"/>
    <mergeCell ref="B3:M3"/>
    <mergeCell ref="B5:M5"/>
    <mergeCell ref="B7:M7"/>
    <mergeCell ref="B9:M9"/>
    <mergeCell ref="B11:M1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B1:R371"/>
  <sheetViews>
    <sheetView zoomScale="120" zoomScaleNormal="120" workbookViewId="0">
      <pane ySplit="11" topLeftCell="A12" activePane="bottomLeft" state="frozen"/>
      <selection pane="bottomLeft" activeCell="M18" sqref="M18"/>
    </sheetView>
  </sheetViews>
  <sheetFormatPr baseColWidth="10" defaultColWidth="9.1640625" defaultRowHeight="15" x14ac:dyDescent="0.2"/>
  <cols>
    <col min="1" max="1" width="4.1640625" style="2" customWidth="1"/>
    <col min="2" max="2" width="20.5" style="1" customWidth="1"/>
    <col min="3" max="3" width="12" style="2" customWidth="1"/>
    <col min="4" max="5" width="9.83203125" style="2" customWidth="1"/>
    <col min="6" max="6" width="11.5" style="2" customWidth="1"/>
    <col min="7" max="7" width="4.83203125" style="2" customWidth="1"/>
    <col min="8" max="10" width="8" style="2" customWidth="1"/>
    <col min="11" max="11" width="5.1640625" style="2" customWidth="1"/>
    <col min="12" max="14" width="8.83203125" style="2" customWidth="1"/>
    <col min="15" max="15" width="4.83203125" style="2" customWidth="1"/>
    <col min="16" max="16384" width="9.1640625" style="2"/>
  </cols>
  <sheetData>
    <row r="1" spans="2:18" ht="15" customHeight="1" thickBot="1" x14ac:dyDescent="0.25">
      <c r="B1" s="35"/>
      <c r="C1" s="36"/>
      <c r="D1" s="36"/>
      <c r="E1" s="36"/>
      <c r="F1" s="36"/>
      <c r="G1" s="36"/>
      <c r="H1" s="36"/>
      <c r="I1" s="36"/>
      <c r="J1" s="36"/>
      <c r="K1" s="36"/>
      <c r="L1" s="36"/>
      <c r="M1" s="36"/>
      <c r="N1" s="36"/>
      <c r="O1" s="36"/>
      <c r="P1" s="36"/>
      <c r="Q1" s="36"/>
      <c r="R1" s="36"/>
    </row>
    <row r="2" spans="2:18" ht="15" customHeight="1" thickBot="1" x14ac:dyDescent="0.25">
      <c r="B2" s="35" t="s">
        <v>13</v>
      </c>
      <c r="C2" s="18">
        <v>50000</v>
      </c>
      <c r="D2" s="36"/>
      <c r="E2" s="36"/>
      <c r="F2" s="36"/>
      <c r="G2" s="36"/>
      <c r="H2" s="36"/>
      <c r="I2" s="36"/>
      <c r="J2" s="36"/>
      <c r="K2" s="36"/>
      <c r="L2" s="36"/>
      <c r="M2" s="36"/>
      <c r="N2" s="36"/>
      <c r="O2" s="36"/>
      <c r="P2" s="36"/>
      <c r="Q2" s="36"/>
      <c r="R2" s="36"/>
    </row>
    <row r="3" spans="2:18" ht="15" customHeight="1" thickBot="1" x14ac:dyDescent="0.25">
      <c r="B3" s="35"/>
      <c r="C3" s="37"/>
      <c r="D3" s="36"/>
      <c r="E3" s="36"/>
      <c r="F3" s="36"/>
      <c r="G3" s="36"/>
      <c r="H3" s="36"/>
      <c r="I3" s="36"/>
      <c r="J3" s="36"/>
      <c r="K3" s="36"/>
      <c r="L3" s="36"/>
      <c r="M3" s="36"/>
      <c r="N3" s="36"/>
      <c r="O3" s="36"/>
      <c r="P3" s="36"/>
      <c r="Q3" s="36"/>
      <c r="R3" s="36"/>
    </row>
    <row r="4" spans="2:18" ht="15" customHeight="1" thickBot="1" x14ac:dyDescent="0.25">
      <c r="B4" s="35" t="s">
        <v>14</v>
      </c>
      <c r="C4" s="38">
        <v>3.0141345355425508E-2</v>
      </c>
      <c r="D4" s="36"/>
      <c r="E4" s="39">
        <f>C4/12</f>
        <v>2.5117787796187924E-3</v>
      </c>
      <c r="F4" s="21" t="s">
        <v>15</v>
      </c>
      <c r="G4" s="36"/>
      <c r="H4" s="36"/>
      <c r="I4" s="36"/>
      <c r="J4" s="36"/>
      <c r="K4" s="36"/>
      <c r="L4" s="36"/>
      <c r="M4" s="36"/>
      <c r="N4" s="36"/>
      <c r="O4" s="36"/>
      <c r="P4" s="36"/>
      <c r="Q4" s="36"/>
      <c r="R4" s="36"/>
    </row>
    <row r="5" spans="2:18" ht="15" customHeight="1" thickBot="1" x14ac:dyDescent="0.25">
      <c r="B5" s="35"/>
      <c r="C5" s="37"/>
      <c r="D5" s="36"/>
      <c r="E5" s="36"/>
      <c r="F5" s="36"/>
      <c r="G5" s="36"/>
      <c r="H5" s="48" t="s">
        <v>16</v>
      </c>
      <c r="I5" s="49"/>
      <c r="J5" s="50"/>
      <c r="K5" s="36"/>
      <c r="L5" s="48" t="s">
        <v>17</v>
      </c>
      <c r="M5" s="49"/>
      <c r="N5" s="50"/>
      <c r="O5" s="36"/>
      <c r="P5" s="48" t="s">
        <v>18</v>
      </c>
      <c r="Q5" s="49"/>
      <c r="R5" s="50"/>
    </row>
    <row r="6" spans="2:18" ht="15" customHeight="1" thickBot="1" x14ac:dyDescent="0.25">
      <c r="B6" s="35" t="s">
        <v>19</v>
      </c>
      <c r="C6" s="40">
        <v>72</v>
      </c>
      <c r="D6" s="36"/>
      <c r="E6" s="35" t="s">
        <v>20</v>
      </c>
      <c r="F6" s="41">
        <f>VLOOKUP(C6,$B$12:$F$371,5,FALSE)</f>
        <v>3.4543718925306166E-4</v>
      </c>
      <c r="G6" s="36"/>
      <c r="H6" s="51"/>
      <c r="I6" s="52"/>
      <c r="J6" s="53"/>
      <c r="K6" s="36"/>
      <c r="L6" s="51"/>
      <c r="M6" s="52"/>
      <c r="N6" s="53"/>
      <c r="O6" s="36"/>
      <c r="P6" s="51"/>
      <c r="Q6" s="52"/>
      <c r="R6" s="53"/>
    </row>
    <row r="7" spans="2:18" ht="15" customHeight="1" thickBot="1" x14ac:dyDescent="0.25">
      <c r="B7" s="35"/>
      <c r="C7" s="36"/>
      <c r="D7" s="36"/>
      <c r="E7" s="36"/>
      <c r="F7" s="36"/>
      <c r="G7" s="36"/>
      <c r="H7" s="51"/>
      <c r="I7" s="52"/>
      <c r="J7" s="53"/>
      <c r="K7" s="36"/>
      <c r="L7" s="51"/>
      <c r="M7" s="52"/>
      <c r="N7" s="53"/>
      <c r="O7" s="36"/>
      <c r="P7" s="51"/>
      <c r="Q7" s="52"/>
      <c r="R7" s="53"/>
    </row>
    <row r="8" spans="2:18" ht="15" customHeight="1" thickBot="1" x14ac:dyDescent="0.25">
      <c r="B8" s="35" t="s">
        <v>21</v>
      </c>
      <c r="C8" s="19">
        <v>760</v>
      </c>
      <c r="D8" s="36"/>
      <c r="E8" s="36"/>
      <c r="F8" s="36"/>
      <c r="G8" s="36"/>
      <c r="H8" s="54"/>
      <c r="I8" s="55"/>
      <c r="J8" s="56"/>
      <c r="K8" s="36"/>
      <c r="L8" s="54"/>
      <c r="M8" s="55"/>
      <c r="N8" s="56"/>
      <c r="O8" s="36"/>
      <c r="P8" s="54"/>
      <c r="Q8" s="55"/>
      <c r="R8" s="56"/>
    </row>
    <row r="11" spans="2:18" ht="32" x14ac:dyDescent="0.2">
      <c r="B11" s="4" t="s">
        <v>22</v>
      </c>
      <c r="C11" s="4" t="s">
        <v>23</v>
      </c>
      <c r="D11" s="4" t="s">
        <v>24</v>
      </c>
      <c r="E11" s="4" t="s">
        <v>25</v>
      </c>
      <c r="F11" s="4" t="s">
        <v>26</v>
      </c>
      <c r="G11" s="36"/>
      <c r="H11" s="36"/>
      <c r="I11" s="36"/>
      <c r="J11" s="36"/>
      <c r="K11" s="36"/>
      <c r="L11" s="36"/>
      <c r="M11" s="36"/>
      <c r="N11" s="36"/>
      <c r="O11" s="36"/>
      <c r="P11" s="36"/>
      <c r="Q11" s="36"/>
      <c r="R11" s="36"/>
    </row>
    <row r="12" spans="2:18" x14ac:dyDescent="0.2">
      <c r="B12" s="37">
        <v>1</v>
      </c>
      <c r="C12" s="42">
        <f>$C$2</f>
        <v>50000</v>
      </c>
      <c r="D12" s="3">
        <f>ROUND(C12*$E$4,10)</f>
        <v>125.5889389809</v>
      </c>
      <c r="E12" s="42">
        <f>-ROUND($C$8,10)</f>
        <v>-760</v>
      </c>
      <c r="F12" s="42">
        <f t="shared" ref="F12:F75" si="0">SUM(C12:E12)</f>
        <v>49365.588938980902</v>
      </c>
      <c r="G12" s="36"/>
      <c r="H12" s="36"/>
      <c r="I12" s="36"/>
      <c r="J12" s="36"/>
      <c r="K12" s="36"/>
      <c r="L12" s="36"/>
      <c r="M12" s="36"/>
      <c r="N12" s="36"/>
      <c r="O12" s="36"/>
      <c r="P12" s="36"/>
      <c r="Q12" s="36"/>
      <c r="R12" s="36"/>
    </row>
    <row r="13" spans="2:18" ht="15" customHeight="1" x14ac:dyDescent="0.2">
      <c r="B13" s="37">
        <f t="shared" ref="B13:B76" si="1">+B12+1</f>
        <v>2</v>
      </c>
      <c r="C13" s="42">
        <f t="shared" ref="C13:C76" si="2">F12</f>
        <v>49365.588938980902</v>
      </c>
      <c r="D13" s="3">
        <f t="shared" ref="D13:D76" si="3">ROUND(C13*$E$4,10)</f>
        <v>123.9954387403</v>
      </c>
      <c r="E13" s="42">
        <f t="shared" ref="E13:E76" si="4">-ROUND($C$8,10)</f>
        <v>-760</v>
      </c>
      <c r="F13" s="42">
        <f t="shared" si="0"/>
        <v>48729.584377721199</v>
      </c>
      <c r="G13" s="36"/>
      <c r="H13" s="36"/>
      <c r="I13" s="36"/>
      <c r="J13" s="36"/>
      <c r="K13" s="36"/>
      <c r="L13" s="36"/>
      <c r="M13" s="36"/>
      <c r="N13" s="36"/>
      <c r="O13" s="36"/>
      <c r="P13" s="36"/>
      <c r="Q13" s="36"/>
      <c r="R13" s="36"/>
    </row>
    <row r="14" spans="2:18" x14ac:dyDescent="0.2">
      <c r="B14" s="37">
        <f t="shared" si="1"/>
        <v>3</v>
      </c>
      <c r="C14" s="42">
        <f t="shared" si="2"/>
        <v>48729.584377721199</v>
      </c>
      <c r="D14" s="3">
        <f t="shared" si="3"/>
        <v>122.39793597960001</v>
      </c>
      <c r="E14" s="42">
        <f t="shared" si="4"/>
        <v>-760</v>
      </c>
      <c r="F14" s="42">
        <f t="shared" si="0"/>
        <v>48091.982313700799</v>
      </c>
      <c r="G14" s="36"/>
      <c r="H14" s="36"/>
      <c r="I14" s="36"/>
      <c r="J14" s="36"/>
      <c r="K14" s="36"/>
      <c r="L14" s="36"/>
      <c r="M14" s="36"/>
      <c r="N14" s="36"/>
      <c r="O14" s="36"/>
      <c r="P14" s="36"/>
      <c r="Q14" s="36"/>
      <c r="R14" s="36"/>
    </row>
    <row r="15" spans="2:18" x14ac:dyDescent="0.2">
      <c r="B15" s="37">
        <f t="shared" si="1"/>
        <v>4</v>
      </c>
      <c r="C15" s="42">
        <f t="shared" si="2"/>
        <v>48091.982313700799</v>
      </c>
      <c r="D15" s="3">
        <f t="shared" si="3"/>
        <v>120.7964206454</v>
      </c>
      <c r="E15" s="42">
        <f t="shared" si="4"/>
        <v>-760</v>
      </c>
      <c r="F15" s="42">
        <f t="shared" si="0"/>
        <v>47452.778734346197</v>
      </c>
      <c r="G15" s="36"/>
      <c r="H15" s="36"/>
      <c r="I15" s="36"/>
      <c r="J15" s="36"/>
      <c r="K15" s="36"/>
      <c r="L15" s="36"/>
      <c r="M15" s="36"/>
      <c r="N15" s="36"/>
      <c r="O15" s="36"/>
      <c r="P15" s="36"/>
      <c r="Q15" s="36"/>
      <c r="R15" s="36"/>
    </row>
    <row r="16" spans="2:18" x14ac:dyDescent="0.2">
      <c r="B16" s="37">
        <f t="shared" si="1"/>
        <v>5</v>
      </c>
      <c r="C16" s="42">
        <f t="shared" si="2"/>
        <v>47452.778734346197</v>
      </c>
      <c r="D16" s="3">
        <f t="shared" si="3"/>
        <v>119.19088265889999</v>
      </c>
      <c r="E16" s="42">
        <f t="shared" si="4"/>
        <v>-760</v>
      </c>
      <c r="F16" s="42">
        <f t="shared" si="0"/>
        <v>46811.969617005096</v>
      </c>
      <c r="G16" s="36"/>
      <c r="H16" s="36"/>
      <c r="I16" s="36"/>
      <c r="J16" s="36"/>
      <c r="K16" s="36"/>
      <c r="L16" s="36"/>
      <c r="M16" s="36"/>
      <c r="N16" s="36"/>
      <c r="O16" s="36"/>
      <c r="P16" s="36"/>
      <c r="Q16" s="36"/>
      <c r="R16" s="36"/>
    </row>
    <row r="17" spans="2:16" x14ac:dyDescent="0.2">
      <c r="B17" s="37">
        <f t="shared" si="1"/>
        <v>6</v>
      </c>
      <c r="C17" s="42">
        <f t="shared" si="2"/>
        <v>46811.969617005096</v>
      </c>
      <c r="D17" s="3">
        <f t="shared" si="3"/>
        <v>117.58131191619999</v>
      </c>
      <c r="E17" s="42">
        <f t="shared" si="4"/>
        <v>-760</v>
      </c>
      <c r="F17" s="42">
        <f t="shared" si="0"/>
        <v>46169.550928921293</v>
      </c>
      <c r="G17" s="36"/>
      <c r="H17" s="36"/>
      <c r="I17" s="36"/>
      <c r="J17" s="36"/>
      <c r="K17" s="36"/>
      <c r="L17" s="36"/>
      <c r="M17" s="36"/>
      <c r="N17" s="36"/>
      <c r="O17" s="36"/>
      <c r="P17" s="36"/>
    </row>
    <row r="18" spans="2:16" x14ac:dyDescent="0.2">
      <c r="B18" s="37">
        <f t="shared" si="1"/>
        <v>7</v>
      </c>
      <c r="C18" s="42">
        <f t="shared" si="2"/>
        <v>46169.550928921293</v>
      </c>
      <c r="D18" s="3">
        <f t="shared" si="3"/>
        <v>115.9676982878</v>
      </c>
      <c r="E18" s="42">
        <f t="shared" si="4"/>
        <v>-760</v>
      </c>
      <c r="F18" s="42">
        <f t="shared" si="0"/>
        <v>45525.518627209094</v>
      </c>
      <c r="G18" s="36"/>
      <c r="H18" s="36"/>
      <c r="I18" s="36"/>
      <c r="J18" s="36"/>
      <c r="K18" s="36"/>
      <c r="L18" s="36"/>
      <c r="M18" s="36"/>
      <c r="N18" s="36"/>
      <c r="O18" s="36"/>
      <c r="P18" s="36"/>
    </row>
    <row r="19" spans="2:16" x14ac:dyDescent="0.2">
      <c r="B19" s="37">
        <f t="shared" si="1"/>
        <v>8</v>
      </c>
      <c r="C19" s="42">
        <f t="shared" si="2"/>
        <v>45525.518627209094</v>
      </c>
      <c r="D19" s="3">
        <f t="shared" si="3"/>
        <v>114.35003161900001</v>
      </c>
      <c r="E19" s="42">
        <f t="shared" si="4"/>
        <v>-760</v>
      </c>
      <c r="F19" s="42">
        <f t="shared" si="0"/>
        <v>44879.868658828091</v>
      </c>
      <c r="G19" s="36"/>
      <c r="H19" s="36"/>
      <c r="I19" s="36"/>
      <c r="J19" s="36"/>
      <c r="K19" s="36"/>
      <c r="L19" s="36"/>
      <c r="M19" s="36"/>
      <c r="N19" s="36"/>
      <c r="O19" s="36"/>
      <c r="P19" s="36"/>
    </row>
    <row r="20" spans="2:16" x14ac:dyDescent="0.2">
      <c r="B20" s="37">
        <f t="shared" si="1"/>
        <v>9</v>
      </c>
      <c r="C20" s="42">
        <f t="shared" si="2"/>
        <v>44879.868658828091</v>
      </c>
      <c r="D20" s="3">
        <f t="shared" si="3"/>
        <v>112.7283017293</v>
      </c>
      <c r="E20" s="42">
        <f t="shared" si="4"/>
        <v>-760</v>
      </c>
      <c r="F20" s="42">
        <f t="shared" si="0"/>
        <v>44232.596960557392</v>
      </c>
      <c r="G20" s="36"/>
      <c r="H20" s="36"/>
      <c r="I20" s="36"/>
      <c r="J20" s="36"/>
      <c r="K20" s="36"/>
      <c r="L20" s="36"/>
      <c r="M20" s="36"/>
      <c r="N20" s="36"/>
      <c r="O20" s="36"/>
      <c r="P20" s="36"/>
    </row>
    <row r="21" spans="2:16" x14ac:dyDescent="0.2">
      <c r="B21" s="37">
        <f t="shared" si="1"/>
        <v>10</v>
      </c>
      <c r="C21" s="42">
        <f t="shared" si="2"/>
        <v>44232.596960557392</v>
      </c>
      <c r="D21" s="3">
        <f t="shared" si="3"/>
        <v>111.10249841300001</v>
      </c>
      <c r="E21" s="42">
        <f t="shared" si="4"/>
        <v>-760</v>
      </c>
      <c r="F21" s="42">
        <f t="shared" si="0"/>
        <v>43583.69945897039</v>
      </c>
      <c r="G21" s="36"/>
      <c r="H21" s="36"/>
      <c r="I21" s="36"/>
      <c r="J21" s="36"/>
      <c r="K21" s="36"/>
      <c r="L21" s="36"/>
      <c r="M21" s="36"/>
      <c r="N21" s="36"/>
      <c r="O21" s="36"/>
      <c r="P21" s="36"/>
    </row>
    <row r="22" spans="2:16" x14ac:dyDescent="0.2">
      <c r="B22" s="37">
        <f t="shared" si="1"/>
        <v>11</v>
      </c>
      <c r="C22" s="42">
        <f t="shared" si="2"/>
        <v>43583.69945897039</v>
      </c>
      <c r="D22" s="3">
        <f t="shared" si="3"/>
        <v>109.47261143830001</v>
      </c>
      <c r="E22" s="42">
        <f t="shared" si="4"/>
        <v>-760</v>
      </c>
      <c r="F22" s="42">
        <f t="shared" si="0"/>
        <v>42933.172070408691</v>
      </c>
      <c r="G22" s="36"/>
      <c r="H22" s="36"/>
      <c r="I22" s="36"/>
      <c r="J22" s="36"/>
      <c r="K22" s="36"/>
      <c r="L22" s="36"/>
      <c r="M22" s="36"/>
      <c r="N22" s="36"/>
      <c r="O22" s="36"/>
      <c r="P22" s="36"/>
    </row>
    <row r="23" spans="2:16" x14ac:dyDescent="0.2">
      <c r="B23" s="37">
        <f t="shared" si="1"/>
        <v>12</v>
      </c>
      <c r="C23" s="42">
        <f t="shared" si="2"/>
        <v>42933.172070408691</v>
      </c>
      <c r="D23" s="3">
        <f t="shared" si="3"/>
        <v>107.8386305482</v>
      </c>
      <c r="E23" s="42">
        <f t="shared" si="4"/>
        <v>-760</v>
      </c>
      <c r="F23" s="42">
        <f t="shared" si="0"/>
        <v>42281.010700956889</v>
      </c>
      <c r="G23" s="36"/>
      <c r="H23" s="36"/>
      <c r="I23" s="36"/>
      <c r="J23" s="36"/>
      <c r="K23" s="36"/>
      <c r="L23" s="36"/>
      <c r="M23" s="36"/>
      <c r="N23" s="36"/>
      <c r="O23" s="36"/>
      <c r="P23" s="36"/>
    </row>
    <row r="24" spans="2:16" x14ac:dyDescent="0.2">
      <c r="B24" s="37">
        <f t="shared" si="1"/>
        <v>13</v>
      </c>
      <c r="C24" s="42">
        <f t="shared" si="2"/>
        <v>42281.010700956889</v>
      </c>
      <c r="D24" s="3">
        <f t="shared" si="3"/>
        <v>106.20054545950001</v>
      </c>
      <c r="E24" s="42">
        <f t="shared" si="4"/>
        <v>-760</v>
      </c>
      <c r="F24" s="42">
        <f t="shared" si="0"/>
        <v>41627.211246416387</v>
      </c>
      <c r="G24" s="36"/>
      <c r="H24" s="36"/>
      <c r="I24" s="36"/>
      <c r="J24" s="36"/>
      <c r="K24" s="36"/>
      <c r="L24" s="36"/>
      <c r="M24" s="36"/>
      <c r="N24" s="36"/>
      <c r="O24" s="36"/>
      <c r="P24" s="36"/>
    </row>
    <row r="25" spans="2:16" x14ac:dyDescent="0.2">
      <c r="B25" s="37">
        <f t="shared" si="1"/>
        <v>14</v>
      </c>
      <c r="C25" s="42">
        <f t="shared" si="2"/>
        <v>41627.211246416387</v>
      </c>
      <c r="D25" s="3">
        <f t="shared" si="3"/>
        <v>104.55834586349999</v>
      </c>
      <c r="E25" s="42">
        <f t="shared" si="4"/>
        <v>-760</v>
      </c>
      <c r="F25" s="42">
        <f t="shared" si="0"/>
        <v>40971.769592279888</v>
      </c>
      <c r="G25" s="36"/>
      <c r="H25" s="36"/>
      <c r="I25" s="36"/>
      <c r="J25" s="36"/>
      <c r="K25" s="36"/>
      <c r="L25" s="36"/>
      <c r="M25" s="36"/>
      <c r="N25" s="36"/>
      <c r="O25" s="36"/>
      <c r="P25" s="36"/>
    </row>
    <row r="26" spans="2:16" x14ac:dyDescent="0.2">
      <c r="B26" s="37">
        <f t="shared" si="1"/>
        <v>15</v>
      </c>
      <c r="C26" s="42">
        <f t="shared" si="2"/>
        <v>40971.769592279888</v>
      </c>
      <c r="D26" s="3">
        <f t="shared" si="3"/>
        <v>102.9120214253</v>
      </c>
      <c r="E26" s="42">
        <f t="shared" si="4"/>
        <v>-760</v>
      </c>
      <c r="F26" s="42">
        <f t="shared" si="0"/>
        <v>40314.681613705186</v>
      </c>
      <c r="G26" s="36"/>
      <c r="H26" s="36"/>
      <c r="I26" s="36"/>
      <c r="J26" s="36"/>
      <c r="K26" s="36"/>
      <c r="L26" s="36"/>
      <c r="M26" s="36"/>
      <c r="N26" s="36"/>
      <c r="O26" s="36"/>
      <c r="P26" s="36"/>
    </row>
    <row r="27" spans="2:16" x14ac:dyDescent="0.2">
      <c r="B27" s="37">
        <f t="shared" si="1"/>
        <v>16</v>
      </c>
      <c r="C27" s="42">
        <f t="shared" si="2"/>
        <v>40314.681613705186</v>
      </c>
      <c r="D27" s="3">
        <f t="shared" si="3"/>
        <v>101.2615617844</v>
      </c>
      <c r="E27" s="42">
        <f t="shared" si="4"/>
        <v>-760</v>
      </c>
      <c r="F27" s="42">
        <f t="shared" si="0"/>
        <v>39655.943175489585</v>
      </c>
      <c r="G27" s="36"/>
      <c r="H27" s="36"/>
      <c r="I27" s="36"/>
      <c r="J27" s="36"/>
      <c r="K27" s="36"/>
      <c r="L27" s="36"/>
      <c r="M27" s="36"/>
      <c r="N27" s="36"/>
      <c r="O27" s="36"/>
      <c r="P27" s="36"/>
    </row>
    <row r="28" spans="2:16" x14ac:dyDescent="0.2">
      <c r="B28" s="37">
        <f t="shared" si="1"/>
        <v>17</v>
      </c>
      <c r="C28" s="42">
        <f t="shared" si="2"/>
        <v>39655.943175489585</v>
      </c>
      <c r="D28" s="3">
        <f t="shared" si="3"/>
        <v>99.606956554000007</v>
      </c>
      <c r="E28" s="42">
        <f t="shared" si="4"/>
        <v>-760</v>
      </c>
      <c r="F28" s="42">
        <f t="shared" si="0"/>
        <v>38995.550132043587</v>
      </c>
      <c r="G28" s="36"/>
      <c r="H28" s="36"/>
      <c r="I28" s="36"/>
      <c r="J28" s="36"/>
      <c r="K28" s="36"/>
      <c r="L28" s="36"/>
      <c r="M28" s="36"/>
      <c r="N28" s="36"/>
      <c r="O28" s="36"/>
      <c r="P28" s="36"/>
    </row>
    <row r="29" spans="2:16" x14ac:dyDescent="0.2">
      <c r="B29" s="37">
        <f t="shared" si="1"/>
        <v>18</v>
      </c>
      <c r="C29" s="42">
        <f t="shared" si="2"/>
        <v>38995.550132043587</v>
      </c>
      <c r="D29" s="3">
        <f t="shared" si="3"/>
        <v>97.948195321200004</v>
      </c>
      <c r="E29" s="42">
        <f t="shared" si="4"/>
        <v>-760</v>
      </c>
      <c r="F29" s="42">
        <f t="shared" si="0"/>
        <v>38333.498327364789</v>
      </c>
      <c r="G29" s="36"/>
      <c r="H29" s="36"/>
      <c r="I29" s="36"/>
      <c r="J29" s="36"/>
      <c r="K29" s="36"/>
      <c r="L29" s="36"/>
      <c r="M29" s="36"/>
      <c r="N29" s="36"/>
      <c r="O29" s="36"/>
      <c r="P29" s="36"/>
    </row>
    <row r="30" spans="2:16" x14ac:dyDescent="0.2">
      <c r="B30" s="37">
        <f t="shared" si="1"/>
        <v>19</v>
      </c>
      <c r="C30" s="42">
        <f t="shared" si="2"/>
        <v>38333.498327364789</v>
      </c>
      <c r="D30" s="3">
        <f t="shared" si="3"/>
        <v>96.285267647200001</v>
      </c>
      <c r="E30" s="42">
        <f t="shared" si="4"/>
        <v>-760</v>
      </c>
      <c r="F30" s="42">
        <f t="shared" si="0"/>
        <v>37669.783595011992</v>
      </c>
      <c r="G30" s="36"/>
      <c r="H30" s="36"/>
      <c r="I30" s="36"/>
      <c r="J30" s="36"/>
      <c r="K30" s="36"/>
      <c r="L30" s="36"/>
      <c r="M30" s="36"/>
      <c r="N30" s="36"/>
      <c r="O30" s="36"/>
      <c r="P30" s="36"/>
    </row>
    <row r="31" spans="2:16" x14ac:dyDescent="0.2">
      <c r="B31" s="37">
        <f t="shared" si="1"/>
        <v>20</v>
      </c>
      <c r="C31" s="42">
        <f t="shared" si="2"/>
        <v>37669.783595011992</v>
      </c>
      <c r="D31" s="3">
        <f t="shared" si="3"/>
        <v>94.618163066799994</v>
      </c>
      <c r="E31" s="42">
        <f t="shared" si="4"/>
        <v>-760</v>
      </c>
      <c r="F31" s="42">
        <f t="shared" si="0"/>
        <v>37004.401758078791</v>
      </c>
      <c r="G31" s="36"/>
      <c r="H31" s="36"/>
      <c r="I31" s="36"/>
      <c r="J31" s="36"/>
      <c r="K31" s="36"/>
      <c r="L31" s="36"/>
      <c r="M31" s="36"/>
      <c r="N31" s="36"/>
      <c r="O31" s="36"/>
      <c r="P31" s="36"/>
    </row>
    <row r="32" spans="2:16" x14ac:dyDescent="0.2">
      <c r="B32" s="37">
        <f t="shared" si="1"/>
        <v>21</v>
      </c>
      <c r="C32" s="42">
        <f t="shared" si="2"/>
        <v>37004.401758078791</v>
      </c>
      <c r="D32" s="3">
        <f t="shared" si="3"/>
        <v>92.946871088400002</v>
      </c>
      <c r="E32" s="42">
        <f t="shared" si="4"/>
        <v>-760</v>
      </c>
      <c r="F32" s="42">
        <f t="shared" si="0"/>
        <v>36337.348629167194</v>
      </c>
      <c r="G32" s="36"/>
      <c r="H32" s="36"/>
      <c r="I32" s="36"/>
      <c r="J32" s="36"/>
      <c r="K32" s="36"/>
      <c r="L32" s="36"/>
      <c r="M32" s="36"/>
      <c r="N32" s="36"/>
      <c r="O32" s="36"/>
      <c r="P32" s="36"/>
    </row>
    <row r="33" spans="2:6" x14ac:dyDescent="0.2">
      <c r="B33" s="37">
        <f t="shared" si="1"/>
        <v>22</v>
      </c>
      <c r="C33" s="42">
        <f t="shared" si="2"/>
        <v>36337.348629167194</v>
      </c>
      <c r="D33" s="3">
        <f t="shared" si="3"/>
        <v>91.271381194400007</v>
      </c>
      <c r="E33" s="42">
        <f t="shared" si="4"/>
        <v>-760</v>
      </c>
      <c r="F33" s="42">
        <f t="shared" si="0"/>
        <v>35668.620010361592</v>
      </c>
    </row>
    <row r="34" spans="2:6" x14ac:dyDescent="0.2">
      <c r="B34" s="37">
        <f t="shared" si="1"/>
        <v>23</v>
      </c>
      <c r="C34" s="42">
        <f t="shared" si="2"/>
        <v>35668.620010361592</v>
      </c>
      <c r="D34" s="3">
        <f t="shared" si="3"/>
        <v>89.591682840299995</v>
      </c>
      <c r="E34" s="42">
        <f t="shared" si="4"/>
        <v>-760</v>
      </c>
      <c r="F34" s="42">
        <f t="shared" si="0"/>
        <v>34998.211693201891</v>
      </c>
    </row>
    <row r="35" spans="2:6" x14ac:dyDescent="0.2">
      <c r="B35" s="37">
        <f t="shared" si="1"/>
        <v>24</v>
      </c>
      <c r="C35" s="42">
        <f t="shared" si="2"/>
        <v>34998.211693201891</v>
      </c>
      <c r="D35" s="3">
        <f t="shared" si="3"/>
        <v>87.9077654556</v>
      </c>
      <c r="E35" s="42">
        <f t="shared" si="4"/>
        <v>-760</v>
      </c>
      <c r="F35" s="42">
        <f t="shared" si="0"/>
        <v>34326.119458657493</v>
      </c>
    </row>
    <row r="36" spans="2:6" x14ac:dyDescent="0.2">
      <c r="B36" s="37">
        <f t="shared" si="1"/>
        <v>25</v>
      </c>
      <c r="C36" s="42">
        <f t="shared" si="2"/>
        <v>34326.119458657493</v>
      </c>
      <c r="D36" s="3">
        <f t="shared" si="3"/>
        <v>86.2196184429</v>
      </c>
      <c r="E36" s="42">
        <f t="shared" si="4"/>
        <v>-760</v>
      </c>
      <c r="F36" s="42">
        <f t="shared" si="0"/>
        <v>33652.339077100391</v>
      </c>
    </row>
    <row r="37" spans="2:6" x14ac:dyDescent="0.2">
      <c r="B37" s="37">
        <f t="shared" si="1"/>
        <v>26</v>
      </c>
      <c r="C37" s="42">
        <f t="shared" si="2"/>
        <v>33652.339077100391</v>
      </c>
      <c r="D37" s="3">
        <f t="shared" si="3"/>
        <v>84.527231178400001</v>
      </c>
      <c r="E37" s="42">
        <f t="shared" si="4"/>
        <v>-760</v>
      </c>
      <c r="F37" s="42">
        <f t="shared" si="0"/>
        <v>32976.86630827879</v>
      </c>
    </row>
    <row r="38" spans="2:6" x14ac:dyDescent="0.2">
      <c r="B38" s="37">
        <f t="shared" si="1"/>
        <v>27</v>
      </c>
      <c r="C38" s="42">
        <f t="shared" si="2"/>
        <v>32976.86630827879</v>
      </c>
      <c r="D38" s="3">
        <f t="shared" si="3"/>
        <v>82.8305930115</v>
      </c>
      <c r="E38" s="42">
        <f t="shared" si="4"/>
        <v>-760</v>
      </c>
      <c r="F38" s="42">
        <f t="shared" si="0"/>
        <v>32299.696901290292</v>
      </c>
    </row>
    <row r="39" spans="2:6" x14ac:dyDescent="0.2">
      <c r="B39" s="37">
        <f t="shared" si="1"/>
        <v>28</v>
      </c>
      <c r="C39" s="42">
        <f t="shared" si="2"/>
        <v>32299.696901290292</v>
      </c>
      <c r="D39" s="3">
        <f t="shared" si="3"/>
        <v>81.129693264799997</v>
      </c>
      <c r="E39" s="42">
        <f t="shared" si="4"/>
        <v>-760</v>
      </c>
      <c r="F39" s="42">
        <f t="shared" si="0"/>
        <v>31620.826594555092</v>
      </c>
    </row>
    <row r="40" spans="2:6" x14ac:dyDescent="0.2">
      <c r="B40" s="37">
        <f t="shared" si="1"/>
        <v>29</v>
      </c>
      <c r="C40" s="42">
        <f t="shared" si="2"/>
        <v>31620.826594555092</v>
      </c>
      <c r="D40" s="3">
        <f t="shared" si="3"/>
        <v>79.4245212342</v>
      </c>
      <c r="E40" s="42">
        <f t="shared" si="4"/>
        <v>-760</v>
      </c>
      <c r="F40" s="42">
        <f t="shared" si="0"/>
        <v>30940.251115789291</v>
      </c>
    </row>
    <row r="41" spans="2:6" x14ac:dyDescent="0.2">
      <c r="B41" s="37">
        <f t="shared" si="1"/>
        <v>30</v>
      </c>
      <c r="C41" s="42">
        <f t="shared" si="2"/>
        <v>30940.251115789291</v>
      </c>
      <c r="D41" s="3">
        <f t="shared" si="3"/>
        <v>77.715066188700007</v>
      </c>
      <c r="E41" s="42">
        <f t="shared" si="4"/>
        <v>-760</v>
      </c>
      <c r="F41" s="42">
        <f t="shared" si="0"/>
        <v>30257.96618197799</v>
      </c>
    </row>
    <row r="42" spans="2:6" x14ac:dyDescent="0.2">
      <c r="B42" s="37">
        <f t="shared" si="1"/>
        <v>31</v>
      </c>
      <c r="C42" s="42">
        <f t="shared" si="2"/>
        <v>30257.96618197799</v>
      </c>
      <c r="D42" s="3">
        <f t="shared" si="3"/>
        <v>76.001317370300001</v>
      </c>
      <c r="E42" s="42">
        <f t="shared" si="4"/>
        <v>-760</v>
      </c>
      <c r="F42" s="42">
        <f t="shared" si="0"/>
        <v>29573.967499348291</v>
      </c>
    </row>
    <row r="43" spans="2:6" x14ac:dyDescent="0.2">
      <c r="B43" s="37">
        <f t="shared" si="1"/>
        <v>32</v>
      </c>
      <c r="C43" s="42">
        <f t="shared" si="2"/>
        <v>29573.967499348291</v>
      </c>
      <c r="D43" s="3">
        <f t="shared" si="3"/>
        <v>74.283263993999995</v>
      </c>
      <c r="E43" s="42">
        <f t="shared" si="4"/>
        <v>-760</v>
      </c>
      <c r="F43" s="42">
        <f t="shared" si="0"/>
        <v>28888.25076334229</v>
      </c>
    </row>
    <row r="44" spans="2:6" x14ac:dyDescent="0.2">
      <c r="B44" s="37">
        <f t="shared" si="1"/>
        <v>33</v>
      </c>
      <c r="C44" s="42">
        <f t="shared" si="2"/>
        <v>28888.25076334229</v>
      </c>
      <c r="D44" s="3">
        <f t="shared" si="3"/>
        <v>72.560895247700003</v>
      </c>
      <c r="E44" s="42">
        <f t="shared" si="4"/>
        <v>-760</v>
      </c>
      <c r="F44" s="42">
        <f t="shared" si="0"/>
        <v>28200.811658589992</v>
      </c>
    </row>
    <row r="45" spans="2:6" x14ac:dyDescent="0.2">
      <c r="B45" s="37">
        <f t="shared" si="1"/>
        <v>34</v>
      </c>
      <c r="C45" s="42">
        <f t="shared" si="2"/>
        <v>28200.811658589992</v>
      </c>
      <c r="D45" s="3">
        <f t="shared" si="3"/>
        <v>70.834200292099993</v>
      </c>
      <c r="E45" s="42">
        <f t="shared" si="4"/>
        <v>-760</v>
      </c>
      <c r="F45" s="42">
        <f t="shared" si="0"/>
        <v>27511.645858882093</v>
      </c>
    </row>
    <row r="46" spans="2:6" x14ac:dyDescent="0.2">
      <c r="B46" s="37">
        <f t="shared" si="1"/>
        <v>35</v>
      </c>
      <c r="C46" s="42">
        <f t="shared" si="2"/>
        <v>27511.645858882093</v>
      </c>
      <c r="D46" s="3">
        <f t="shared" si="3"/>
        <v>69.103168260700002</v>
      </c>
      <c r="E46" s="42">
        <f t="shared" si="4"/>
        <v>-760</v>
      </c>
      <c r="F46" s="42">
        <f t="shared" si="0"/>
        <v>26820.749027142792</v>
      </c>
    </row>
    <row r="47" spans="2:6" x14ac:dyDescent="0.2">
      <c r="B47" s="37">
        <f t="shared" si="1"/>
        <v>36</v>
      </c>
      <c r="C47" s="42">
        <f t="shared" si="2"/>
        <v>26820.749027142792</v>
      </c>
      <c r="D47" s="3">
        <f t="shared" si="3"/>
        <v>67.367788259899996</v>
      </c>
      <c r="E47" s="42">
        <f t="shared" si="4"/>
        <v>-760</v>
      </c>
      <c r="F47" s="42">
        <f t="shared" si="0"/>
        <v>26128.116815402693</v>
      </c>
    </row>
    <row r="48" spans="2:6" x14ac:dyDescent="0.2">
      <c r="B48" s="37">
        <f t="shared" si="1"/>
        <v>37</v>
      </c>
      <c r="C48" s="42">
        <f t="shared" si="2"/>
        <v>26128.116815402693</v>
      </c>
      <c r="D48" s="3">
        <f t="shared" si="3"/>
        <v>65.628049368299997</v>
      </c>
      <c r="E48" s="42">
        <f t="shared" si="4"/>
        <v>-760</v>
      </c>
      <c r="F48" s="42">
        <f t="shared" si="0"/>
        <v>25433.744864770993</v>
      </c>
    </row>
    <row r="49" spans="2:6" x14ac:dyDescent="0.2">
      <c r="B49" s="37">
        <f t="shared" si="1"/>
        <v>38</v>
      </c>
      <c r="C49" s="42">
        <f t="shared" si="2"/>
        <v>25433.744864770993</v>
      </c>
      <c r="D49" s="3">
        <f t="shared" si="3"/>
        <v>63.883940637599999</v>
      </c>
      <c r="E49" s="42">
        <f t="shared" si="4"/>
        <v>-760</v>
      </c>
      <c r="F49" s="42">
        <f t="shared" si="0"/>
        <v>24737.628805408593</v>
      </c>
    </row>
    <row r="50" spans="2:6" x14ac:dyDescent="0.2">
      <c r="B50" s="37">
        <f t="shared" si="1"/>
        <v>39</v>
      </c>
      <c r="C50" s="42">
        <f t="shared" si="2"/>
        <v>24737.628805408593</v>
      </c>
      <c r="D50" s="3">
        <f t="shared" si="3"/>
        <v>62.135451091500002</v>
      </c>
      <c r="E50" s="42">
        <f t="shared" si="4"/>
        <v>-760</v>
      </c>
      <c r="F50" s="42">
        <f t="shared" si="0"/>
        <v>24039.764256500093</v>
      </c>
    </row>
    <row r="51" spans="2:6" x14ac:dyDescent="0.2">
      <c r="B51" s="37">
        <f t="shared" si="1"/>
        <v>40</v>
      </c>
      <c r="C51" s="42">
        <f t="shared" si="2"/>
        <v>24039.764256500093</v>
      </c>
      <c r="D51" s="3">
        <f t="shared" si="3"/>
        <v>60.382569726500002</v>
      </c>
      <c r="E51" s="42">
        <f t="shared" si="4"/>
        <v>-760</v>
      </c>
      <c r="F51" s="42">
        <f t="shared" si="0"/>
        <v>23340.146826226592</v>
      </c>
    </row>
    <row r="52" spans="2:6" x14ac:dyDescent="0.2">
      <c r="B52" s="37">
        <f t="shared" si="1"/>
        <v>41</v>
      </c>
      <c r="C52" s="42">
        <f t="shared" si="2"/>
        <v>23340.146826226592</v>
      </c>
      <c r="D52" s="3">
        <f t="shared" si="3"/>
        <v>58.6252855113</v>
      </c>
      <c r="E52" s="42">
        <f t="shared" si="4"/>
        <v>-760</v>
      </c>
      <c r="F52" s="42">
        <f t="shared" si="0"/>
        <v>22638.772111737893</v>
      </c>
    </row>
    <row r="53" spans="2:6" x14ac:dyDescent="0.2">
      <c r="B53" s="37">
        <f t="shared" si="1"/>
        <v>42</v>
      </c>
      <c r="C53" s="42">
        <f t="shared" si="2"/>
        <v>22638.772111737893</v>
      </c>
      <c r="D53" s="3">
        <f t="shared" si="3"/>
        <v>56.863587386900001</v>
      </c>
      <c r="E53" s="42">
        <f t="shared" si="4"/>
        <v>-760</v>
      </c>
      <c r="F53" s="42">
        <f t="shared" si="0"/>
        <v>21935.635699124792</v>
      </c>
    </row>
    <row r="54" spans="2:6" x14ac:dyDescent="0.2">
      <c r="B54" s="37">
        <f t="shared" si="1"/>
        <v>43</v>
      </c>
      <c r="C54" s="42">
        <f t="shared" si="2"/>
        <v>21935.635699124792</v>
      </c>
      <c r="D54" s="3">
        <f t="shared" si="3"/>
        <v>55.097464266499998</v>
      </c>
      <c r="E54" s="42">
        <f t="shared" si="4"/>
        <v>-760</v>
      </c>
      <c r="F54" s="42">
        <f t="shared" si="0"/>
        <v>21230.733163391291</v>
      </c>
    </row>
    <row r="55" spans="2:6" x14ac:dyDescent="0.2">
      <c r="B55" s="37">
        <f t="shared" si="1"/>
        <v>44</v>
      </c>
      <c r="C55" s="42">
        <f t="shared" si="2"/>
        <v>21230.733163391291</v>
      </c>
      <c r="D55" s="3">
        <f t="shared" si="3"/>
        <v>53.326905035599999</v>
      </c>
      <c r="E55" s="42">
        <f t="shared" si="4"/>
        <v>-760</v>
      </c>
      <c r="F55" s="42">
        <f t="shared" si="0"/>
        <v>20524.06006842689</v>
      </c>
    </row>
    <row r="56" spans="2:6" x14ac:dyDescent="0.2">
      <c r="B56" s="37">
        <f t="shared" si="1"/>
        <v>45</v>
      </c>
      <c r="C56" s="42">
        <f t="shared" si="2"/>
        <v>20524.06006842689</v>
      </c>
      <c r="D56" s="3">
        <f t="shared" si="3"/>
        <v>51.551898551500003</v>
      </c>
      <c r="E56" s="42">
        <f t="shared" si="4"/>
        <v>-760</v>
      </c>
      <c r="F56" s="42">
        <f t="shared" si="0"/>
        <v>19815.611966978391</v>
      </c>
    </row>
    <row r="57" spans="2:6" x14ac:dyDescent="0.2">
      <c r="B57" s="37">
        <f t="shared" si="1"/>
        <v>46</v>
      </c>
      <c r="C57" s="42">
        <f t="shared" si="2"/>
        <v>19815.611966978391</v>
      </c>
      <c r="D57" s="3">
        <f t="shared" si="3"/>
        <v>49.772433643799999</v>
      </c>
      <c r="E57" s="42">
        <f t="shared" si="4"/>
        <v>-760</v>
      </c>
      <c r="F57" s="42">
        <f t="shared" si="0"/>
        <v>19105.384400622192</v>
      </c>
    </row>
    <row r="58" spans="2:6" x14ac:dyDescent="0.2">
      <c r="B58" s="37">
        <f t="shared" si="1"/>
        <v>47</v>
      </c>
      <c r="C58" s="42">
        <f t="shared" si="2"/>
        <v>19105.384400622192</v>
      </c>
      <c r="D58" s="3">
        <f t="shared" si="3"/>
        <v>47.988499113899998</v>
      </c>
      <c r="E58" s="42">
        <f t="shared" si="4"/>
        <v>-760</v>
      </c>
      <c r="F58" s="42">
        <f t="shared" si="0"/>
        <v>18393.372899736092</v>
      </c>
    </row>
    <row r="59" spans="2:6" x14ac:dyDescent="0.2">
      <c r="B59" s="37">
        <f t="shared" si="1"/>
        <v>48</v>
      </c>
      <c r="C59" s="42">
        <f t="shared" si="2"/>
        <v>18393.372899736092</v>
      </c>
      <c r="D59" s="3">
        <f t="shared" si="3"/>
        <v>46.200083735200003</v>
      </c>
      <c r="E59" s="42">
        <f t="shared" si="4"/>
        <v>-760</v>
      </c>
      <c r="F59" s="42">
        <f t="shared" si="0"/>
        <v>17679.572983471291</v>
      </c>
    </row>
    <row r="60" spans="2:6" x14ac:dyDescent="0.2">
      <c r="B60" s="37">
        <f t="shared" si="1"/>
        <v>49</v>
      </c>
      <c r="C60" s="42">
        <f t="shared" si="2"/>
        <v>17679.572983471291</v>
      </c>
      <c r="D60" s="3">
        <f t="shared" si="3"/>
        <v>44.407176252600003</v>
      </c>
      <c r="E60" s="42">
        <f t="shared" si="4"/>
        <v>-760</v>
      </c>
      <c r="F60" s="42">
        <f t="shared" si="0"/>
        <v>16963.980159723891</v>
      </c>
    </row>
    <row r="61" spans="2:6" x14ac:dyDescent="0.2">
      <c r="B61" s="37">
        <f t="shared" si="1"/>
        <v>50</v>
      </c>
      <c r="C61" s="42">
        <f t="shared" si="2"/>
        <v>16963.980159723891</v>
      </c>
      <c r="D61" s="3">
        <f t="shared" si="3"/>
        <v>42.609765383099997</v>
      </c>
      <c r="E61" s="42">
        <f t="shared" si="4"/>
        <v>-760</v>
      </c>
      <c r="F61" s="42">
        <f t="shared" si="0"/>
        <v>16246.58992510699</v>
      </c>
    </row>
    <row r="62" spans="2:6" x14ac:dyDescent="0.2">
      <c r="B62" s="37">
        <f t="shared" si="1"/>
        <v>51</v>
      </c>
      <c r="C62" s="42">
        <f t="shared" si="2"/>
        <v>16246.58992510699</v>
      </c>
      <c r="D62" s="3">
        <f t="shared" si="3"/>
        <v>40.807839815100003</v>
      </c>
      <c r="E62" s="42">
        <f t="shared" si="4"/>
        <v>-760</v>
      </c>
      <c r="F62" s="42">
        <f t="shared" si="0"/>
        <v>15527.397764922089</v>
      </c>
    </row>
    <row r="63" spans="2:6" x14ac:dyDescent="0.2">
      <c r="B63" s="37">
        <f t="shared" si="1"/>
        <v>52</v>
      </c>
      <c r="C63" s="42">
        <f t="shared" si="2"/>
        <v>15527.397764922089</v>
      </c>
      <c r="D63" s="3">
        <f t="shared" si="3"/>
        <v>39.001388208599998</v>
      </c>
      <c r="E63" s="42">
        <f t="shared" si="4"/>
        <v>-760</v>
      </c>
      <c r="F63" s="42">
        <f t="shared" si="0"/>
        <v>14806.399153130689</v>
      </c>
    </row>
    <row r="64" spans="2:6" x14ac:dyDescent="0.2">
      <c r="B64" s="37">
        <f t="shared" si="1"/>
        <v>53</v>
      </c>
      <c r="C64" s="42">
        <f t="shared" si="2"/>
        <v>14806.399153130689</v>
      </c>
      <c r="D64" s="3">
        <f t="shared" si="3"/>
        <v>37.190399195399998</v>
      </c>
      <c r="E64" s="42">
        <f t="shared" si="4"/>
        <v>-760</v>
      </c>
      <c r="F64" s="42">
        <f t="shared" si="0"/>
        <v>14083.58955232609</v>
      </c>
    </row>
    <row r="65" spans="2:6" x14ac:dyDescent="0.2">
      <c r="B65" s="37">
        <f t="shared" si="1"/>
        <v>54</v>
      </c>
      <c r="C65" s="42">
        <f t="shared" si="2"/>
        <v>14083.58955232609</v>
      </c>
      <c r="D65" s="3">
        <f t="shared" si="3"/>
        <v>35.374861378399999</v>
      </c>
      <c r="E65" s="42">
        <f t="shared" si="4"/>
        <v>-760</v>
      </c>
      <c r="F65" s="42">
        <f t="shared" si="0"/>
        <v>13358.964413704489</v>
      </c>
    </row>
    <row r="66" spans="2:6" x14ac:dyDescent="0.2">
      <c r="B66" s="37">
        <f t="shared" si="1"/>
        <v>55</v>
      </c>
      <c r="C66" s="42">
        <f t="shared" si="2"/>
        <v>13358.964413704489</v>
      </c>
      <c r="D66" s="3">
        <f t="shared" si="3"/>
        <v>33.554763332</v>
      </c>
      <c r="E66" s="42">
        <f t="shared" si="4"/>
        <v>-760</v>
      </c>
      <c r="F66" s="42">
        <f t="shared" si="0"/>
        <v>12632.519177036489</v>
      </c>
    </row>
    <row r="67" spans="2:6" x14ac:dyDescent="0.2">
      <c r="B67" s="37">
        <f t="shared" si="1"/>
        <v>56</v>
      </c>
      <c r="C67" s="42">
        <f t="shared" si="2"/>
        <v>12632.519177036489</v>
      </c>
      <c r="D67" s="3">
        <f t="shared" si="3"/>
        <v>31.730093602</v>
      </c>
      <c r="E67" s="42">
        <f t="shared" si="4"/>
        <v>-760</v>
      </c>
      <c r="F67" s="42">
        <f t="shared" si="0"/>
        <v>11904.249270638489</v>
      </c>
    </row>
    <row r="68" spans="2:6" x14ac:dyDescent="0.2">
      <c r="B68" s="37">
        <f t="shared" si="1"/>
        <v>57</v>
      </c>
      <c r="C68" s="42">
        <f t="shared" si="2"/>
        <v>11904.249270638489</v>
      </c>
      <c r="D68" s="3">
        <f t="shared" si="3"/>
        <v>29.900840705299998</v>
      </c>
      <c r="E68" s="42">
        <f t="shared" si="4"/>
        <v>-760</v>
      </c>
      <c r="F68" s="42">
        <f t="shared" si="0"/>
        <v>11174.15011134379</v>
      </c>
    </row>
    <row r="69" spans="2:6" x14ac:dyDescent="0.2">
      <c r="B69" s="37">
        <f t="shared" si="1"/>
        <v>58</v>
      </c>
      <c r="C69" s="42">
        <f t="shared" si="2"/>
        <v>11174.15011134379</v>
      </c>
      <c r="D69" s="3">
        <f t="shared" si="3"/>
        <v>28.066993129899998</v>
      </c>
      <c r="E69" s="42">
        <f t="shared" si="4"/>
        <v>-760</v>
      </c>
      <c r="F69" s="42">
        <f t="shared" si="0"/>
        <v>10442.21710447369</v>
      </c>
    </row>
    <row r="70" spans="2:6" x14ac:dyDescent="0.2">
      <c r="B70" s="37">
        <f t="shared" si="1"/>
        <v>59</v>
      </c>
      <c r="C70" s="42">
        <f t="shared" si="2"/>
        <v>10442.21710447369</v>
      </c>
      <c r="D70" s="3">
        <f t="shared" si="3"/>
        <v>26.228539335200001</v>
      </c>
      <c r="E70" s="42">
        <f t="shared" si="4"/>
        <v>-760</v>
      </c>
      <c r="F70" s="42">
        <f t="shared" si="0"/>
        <v>9708.4456438088891</v>
      </c>
    </row>
    <row r="71" spans="2:6" x14ac:dyDescent="0.2">
      <c r="B71" s="37">
        <f t="shared" si="1"/>
        <v>60</v>
      </c>
      <c r="C71" s="42">
        <f t="shared" si="2"/>
        <v>9708.4456438088891</v>
      </c>
      <c r="D71" s="3">
        <f t="shared" si="3"/>
        <v>24.3854677512</v>
      </c>
      <c r="E71" s="42">
        <f t="shared" si="4"/>
        <v>-760</v>
      </c>
      <c r="F71" s="42">
        <f t="shared" si="0"/>
        <v>8972.83111156009</v>
      </c>
    </row>
    <row r="72" spans="2:6" x14ac:dyDescent="0.2">
      <c r="B72" s="37">
        <f t="shared" si="1"/>
        <v>61</v>
      </c>
      <c r="C72" s="42">
        <f t="shared" si="2"/>
        <v>8972.83111156009</v>
      </c>
      <c r="D72" s="3">
        <f t="shared" si="3"/>
        <v>22.5377667791</v>
      </c>
      <c r="E72" s="42">
        <f t="shared" si="4"/>
        <v>-760</v>
      </c>
      <c r="F72" s="42">
        <f t="shared" si="0"/>
        <v>8235.3688783391899</v>
      </c>
    </row>
    <row r="73" spans="2:6" x14ac:dyDescent="0.2">
      <c r="B73" s="37">
        <f t="shared" si="1"/>
        <v>62</v>
      </c>
      <c r="C73" s="42">
        <f t="shared" si="2"/>
        <v>8235.3688783391899</v>
      </c>
      <c r="D73" s="3">
        <f t="shared" si="3"/>
        <v>20.685424790900001</v>
      </c>
      <c r="E73" s="42">
        <f t="shared" si="4"/>
        <v>-760</v>
      </c>
      <c r="F73" s="42">
        <f t="shared" si="0"/>
        <v>7496.0543031300895</v>
      </c>
    </row>
    <row r="74" spans="2:6" x14ac:dyDescent="0.2">
      <c r="B74" s="37">
        <f t="shared" si="1"/>
        <v>63</v>
      </c>
      <c r="C74" s="42">
        <f t="shared" si="2"/>
        <v>7496.0543031300895</v>
      </c>
      <c r="D74" s="3">
        <f t="shared" si="3"/>
        <v>18.828430129499999</v>
      </c>
      <c r="E74" s="42">
        <f t="shared" si="4"/>
        <v>-760</v>
      </c>
      <c r="F74" s="42">
        <f t="shared" si="0"/>
        <v>6754.8827332595893</v>
      </c>
    </row>
    <row r="75" spans="2:6" x14ac:dyDescent="0.2">
      <c r="B75" s="37">
        <f t="shared" si="1"/>
        <v>64</v>
      </c>
      <c r="C75" s="42">
        <f t="shared" si="2"/>
        <v>6754.8827332595893</v>
      </c>
      <c r="D75" s="3">
        <f t="shared" si="3"/>
        <v>16.9667711082</v>
      </c>
      <c r="E75" s="42">
        <f t="shared" si="4"/>
        <v>-760</v>
      </c>
      <c r="F75" s="42">
        <f t="shared" si="0"/>
        <v>6011.8495043677895</v>
      </c>
    </row>
    <row r="76" spans="2:6" x14ac:dyDescent="0.2">
      <c r="B76" s="37">
        <f t="shared" si="1"/>
        <v>65</v>
      </c>
      <c r="C76" s="42">
        <f t="shared" si="2"/>
        <v>6011.8495043677895</v>
      </c>
      <c r="D76" s="3">
        <f t="shared" si="3"/>
        <v>15.100436011299999</v>
      </c>
      <c r="E76" s="42">
        <f t="shared" si="4"/>
        <v>-760</v>
      </c>
      <c r="F76" s="42">
        <f t="shared" ref="F76:F130" si="5">SUM(C76:E76)</f>
        <v>5266.9499403790896</v>
      </c>
    </row>
    <row r="77" spans="2:6" x14ac:dyDescent="0.2">
      <c r="B77" s="37">
        <f t="shared" ref="B77:B140" si="6">+B76+1</f>
        <v>66</v>
      </c>
      <c r="C77" s="42">
        <f t="shared" ref="C77:C130" si="7">F76</f>
        <v>5266.9499403790896</v>
      </c>
      <c r="D77" s="3">
        <f t="shared" ref="D77:D140" si="8">ROUND(C77*$E$4,10)</f>
        <v>13.2294130936</v>
      </c>
      <c r="E77" s="42">
        <f t="shared" ref="E77:E140" si="9">-ROUND($C$8,10)</f>
        <v>-760</v>
      </c>
      <c r="F77" s="42">
        <f t="shared" si="5"/>
        <v>4520.1793534726894</v>
      </c>
    </row>
    <row r="78" spans="2:6" x14ac:dyDescent="0.2">
      <c r="B78" s="37">
        <f t="shared" si="6"/>
        <v>67</v>
      </c>
      <c r="C78" s="42">
        <f t="shared" si="7"/>
        <v>4520.1793534726894</v>
      </c>
      <c r="D78" s="3">
        <f t="shared" si="8"/>
        <v>11.3536905801</v>
      </c>
      <c r="E78" s="42">
        <f t="shared" si="9"/>
        <v>-760</v>
      </c>
      <c r="F78" s="42">
        <f t="shared" si="5"/>
        <v>3771.5330440527896</v>
      </c>
    </row>
    <row r="79" spans="2:6" x14ac:dyDescent="0.2">
      <c r="B79" s="37">
        <f t="shared" si="6"/>
        <v>68</v>
      </c>
      <c r="C79" s="42">
        <f t="shared" si="7"/>
        <v>3771.5330440527896</v>
      </c>
      <c r="D79" s="3">
        <f t="shared" si="8"/>
        <v>9.4732566666999993</v>
      </c>
      <c r="E79" s="42">
        <f t="shared" si="9"/>
        <v>-760</v>
      </c>
      <c r="F79" s="42">
        <f t="shared" si="5"/>
        <v>3021.0063007194894</v>
      </c>
    </row>
    <row r="80" spans="2:6" x14ac:dyDescent="0.2">
      <c r="B80" s="37">
        <f t="shared" si="6"/>
        <v>69</v>
      </c>
      <c r="C80" s="42">
        <f t="shared" si="7"/>
        <v>3021.0063007194894</v>
      </c>
      <c r="D80" s="3">
        <f t="shared" si="8"/>
        <v>7.5880995192</v>
      </c>
      <c r="E80" s="42">
        <f t="shared" si="9"/>
        <v>-760</v>
      </c>
      <c r="F80" s="42">
        <f t="shared" si="5"/>
        <v>2268.5944002386896</v>
      </c>
    </row>
    <row r="81" spans="2:6" x14ac:dyDescent="0.2">
      <c r="B81" s="37">
        <f t="shared" si="6"/>
        <v>70</v>
      </c>
      <c r="C81" s="42">
        <f t="shared" si="7"/>
        <v>2268.5944002386896</v>
      </c>
      <c r="D81" s="3">
        <f t="shared" si="8"/>
        <v>5.6982072740999996</v>
      </c>
      <c r="E81" s="42">
        <f t="shared" si="9"/>
        <v>-760</v>
      </c>
      <c r="F81" s="42">
        <f t="shared" si="5"/>
        <v>1514.2926075127893</v>
      </c>
    </row>
    <row r="82" spans="2:6" x14ac:dyDescent="0.2">
      <c r="B82" s="37">
        <f t="shared" si="6"/>
        <v>71</v>
      </c>
      <c r="C82" s="42">
        <f t="shared" si="7"/>
        <v>1514.2926075127893</v>
      </c>
      <c r="D82" s="3">
        <f t="shared" si="8"/>
        <v>3.8035680376999998</v>
      </c>
      <c r="E82" s="42">
        <f t="shared" si="9"/>
        <v>-760</v>
      </c>
      <c r="F82" s="42">
        <f t="shared" si="5"/>
        <v>758.09617555048931</v>
      </c>
    </row>
    <row r="83" spans="2:6" x14ac:dyDescent="0.2">
      <c r="B83" s="37">
        <f t="shared" si="6"/>
        <v>72</v>
      </c>
      <c r="C83" s="42">
        <f t="shared" si="7"/>
        <v>758.09617555048931</v>
      </c>
      <c r="D83" s="3">
        <f t="shared" si="8"/>
        <v>1.9041698867000001</v>
      </c>
      <c r="E83" s="42">
        <f t="shared" si="9"/>
        <v>-760</v>
      </c>
      <c r="F83" s="42">
        <f t="shared" si="5"/>
        <v>3.4543718925306166E-4</v>
      </c>
    </row>
    <row r="84" spans="2:6" x14ac:dyDescent="0.2">
      <c r="B84" s="37">
        <f t="shared" si="6"/>
        <v>73</v>
      </c>
      <c r="C84" s="42">
        <f t="shared" si="7"/>
        <v>3.4543718925306166E-4</v>
      </c>
      <c r="D84" s="3">
        <f t="shared" si="8"/>
        <v>8.6769999999999997E-7</v>
      </c>
      <c r="E84" s="42">
        <f t="shared" si="9"/>
        <v>-760</v>
      </c>
      <c r="F84" s="42">
        <f t="shared" si="5"/>
        <v>-759.99965369511074</v>
      </c>
    </row>
    <row r="85" spans="2:6" x14ac:dyDescent="0.2">
      <c r="B85" s="37">
        <f t="shared" si="6"/>
        <v>74</v>
      </c>
      <c r="C85" s="42">
        <f t="shared" si="7"/>
        <v>-759.99965369511074</v>
      </c>
      <c r="D85" s="3">
        <f t="shared" si="8"/>
        <v>-1.9089510027000001</v>
      </c>
      <c r="E85" s="42">
        <f t="shared" si="9"/>
        <v>-760</v>
      </c>
      <c r="F85" s="42">
        <f t="shared" si="5"/>
        <v>-1521.9086046978107</v>
      </c>
    </row>
    <row r="86" spans="2:6" x14ac:dyDescent="0.2">
      <c r="B86" s="37">
        <f t="shared" si="6"/>
        <v>75</v>
      </c>
      <c r="C86" s="42">
        <f t="shared" si="7"/>
        <v>-1521.9086046978107</v>
      </c>
      <c r="D86" s="3">
        <f t="shared" si="8"/>
        <v>-3.8226977378</v>
      </c>
      <c r="E86" s="42">
        <f t="shared" si="9"/>
        <v>-760</v>
      </c>
      <c r="F86" s="42">
        <f t="shared" si="5"/>
        <v>-2285.7313024356108</v>
      </c>
    </row>
    <row r="87" spans="2:6" x14ac:dyDescent="0.2">
      <c r="B87" s="37">
        <f t="shared" si="6"/>
        <v>76</v>
      </c>
      <c r="C87" s="42">
        <f t="shared" si="7"/>
        <v>-2285.7313024356108</v>
      </c>
      <c r="D87" s="3">
        <f t="shared" si="8"/>
        <v>-5.7412513813999997</v>
      </c>
      <c r="E87" s="42">
        <f t="shared" si="9"/>
        <v>-760</v>
      </c>
      <c r="F87" s="42">
        <f t="shared" si="5"/>
        <v>-3051.472553817011</v>
      </c>
    </row>
    <row r="88" spans="2:6" x14ac:dyDescent="0.2">
      <c r="B88" s="37">
        <f t="shared" si="6"/>
        <v>77</v>
      </c>
      <c r="C88" s="42">
        <f t="shared" si="7"/>
        <v>-3051.472553817011</v>
      </c>
      <c r="D88" s="3">
        <f t="shared" si="8"/>
        <v>-7.6646240072999996</v>
      </c>
      <c r="E88" s="42">
        <f t="shared" si="9"/>
        <v>-760</v>
      </c>
      <c r="F88" s="42">
        <f t="shared" si="5"/>
        <v>-3819.137177824311</v>
      </c>
    </row>
    <row r="89" spans="2:6" x14ac:dyDescent="0.2">
      <c r="B89" s="37">
        <f t="shared" si="6"/>
        <v>78</v>
      </c>
      <c r="C89" s="42">
        <f t="shared" si="7"/>
        <v>-3819.137177824311</v>
      </c>
      <c r="D89" s="3">
        <f t="shared" si="8"/>
        <v>-9.5928277197000007</v>
      </c>
      <c r="E89" s="42">
        <f t="shared" si="9"/>
        <v>-760</v>
      </c>
      <c r="F89" s="42">
        <f t="shared" si="5"/>
        <v>-4588.730005544011</v>
      </c>
    </row>
    <row r="90" spans="2:6" x14ac:dyDescent="0.2">
      <c r="B90" s="37">
        <f t="shared" si="6"/>
        <v>79</v>
      </c>
      <c r="C90" s="42">
        <f t="shared" si="7"/>
        <v>-4588.730005544011</v>
      </c>
      <c r="D90" s="3">
        <f t="shared" si="8"/>
        <v>-11.525874653300001</v>
      </c>
      <c r="E90" s="42">
        <f t="shared" si="9"/>
        <v>-760</v>
      </c>
      <c r="F90" s="42">
        <f t="shared" si="5"/>
        <v>-5360.2558801973109</v>
      </c>
    </row>
    <row r="91" spans="2:6" x14ac:dyDescent="0.2">
      <c r="B91" s="37">
        <f t="shared" si="6"/>
        <v>80</v>
      </c>
      <c r="C91" s="42">
        <f t="shared" si="7"/>
        <v>-5360.2558801973109</v>
      </c>
      <c r="D91" s="3">
        <f t="shared" si="8"/>
        <v>-13.4637769732</v>
      </c>
      <c r="E91" s="42">
        <f t="shared" si="9"/>
        <v>-760</v>
      </c>
      <c r="F91" s="42">
        <f t="shared" si="5"/>
        <v>-6133.7196571705108</v>
      </c>
    </row>
    <row r="92" spans="2:6" x14ac:dyDescent="0.2">
      <c r="B92" s="37">
        <f t="shared" si="6"/>
        <v>81</v>
      </c>
      <c r="C92" s="42">
        <f t="shared" si="7"/>
        <v>-6133.7196571705108</v>
      </c>
      <c r="D92" s="3">
        <f t="shared" si="8"/>
        <v>-15.406546875</v>
      </c>
      <c r="E92" s="42">
        <f t="shared" si="9"/>
        <v>-760</v>
      </c>
      <c r="F92" s="42">
        <f t="shared" si="5"/>
        <v>-6909.1262040455103</v>
      </c>
    </row>
    <row r="93" spans="2:6" x14ac:dyDescent="0.2">
      <c r="B93" s="37">
        <f t="shared" si="6"/>
        <v>82</v>
      </c>
      <c r="C93" s="42">
        <f t="shared" si="7"/>
        <v>-6909.1262040455103</v>
      </c>
      <c r="D93" s="3">
        <f t="shared" si="8"/>
        <v>-17.354196585</v>
      </c>
      <c r="E93" s="42">
        <f t="shared" si="9"/>
        <v>-760</v>
      </c>
      <c r="F93" s="42">
        <f t="shared" si="5"/>
        <v>-7686.4804006305103</v>
      </c>
    </row>
    <row r="94" spans="2:6" x14ac:dyDescent="0.2">
      <c r="B94" s="37">
        <f t="shared" si="6"/>
        <v>83</v>
      </c>
      <c r="C94" s="42">
        <f t="shared" si="7"/>
        <v>-7686.4804006305103</v>
      </c>
      <c r="D94" s="3">
        <f t="shared" si="8"/>
        <v>-19.306738360299999</v>
      </c>
      <c r="E94" s="42">
        <f t="shared" si="9"/>
        <v>-760</v>
      </c>
      <c r="F94" s="42">
        <f t="shared" si="5"/>
        <v>-8465.7871389908105</v>
      </c>
    </row>
    <row r="95" spans="2:6" x14ac:dyDescent="0.2">
      <c r="B95" s="37">
        <f t="shared" si="6"/>
        <v>84</v>
      </c>
      <c r="C95" s="42">
        <f t="shared" si="7"/>
        <v>-8465.7871389908105</v>
      </c>
      <c r="D95" s="3">
        <f t="shared" si="8"/>
        <v>-21.2641844885</v>
      </c>
      <c r="E95" s="42">
        <f t="shared" si="9"/>
        <v>-760</v>
      </c>
      <c r="F95" s="42">
        <f t="shared" si="5"/>
        <v>-9247.0513234793107</v>
      </c>
    </row>
    <row r="96" spans="2:6" x14ac:dyDescent="0.2">
      <c r="B96" s="37">
        <f t="shared" si="6"/>
        <v>85</v>
      </c>
      <c r="C96" s="42">
        <f t="shared" si="7"/>
        <v>-9247.0513234793107</v>
      </c>
      <c r="D96" s="3">
        <f t="shared" si="8"/>
        <v>-23.226547288399999</v>
      </c>
      <c r="E96" s="42">
        <f t="shared" si="9"/>
        <v>-760</v>
      </c>
      <c r="F96" s="42">
        <f t="shared" si="5"/>
        <v>-10030.27787076771</v>
      </c>
    </row>
    <row r="97" spans="2:6" x14ac:dyDescent="0.2">
      <c r="B97" s="37">
        <f t="shared" si="6"/>
        <v>86</v>
      </c>
      <c r="C97" s="42">
        <f t="shared" si="7"/>
        <v>-10030.27787076771</v>
      </c>
      <c r="D97" s="3">
        <f t="shared" si="8"/>
        <v>-25.193839109500001</v>
      </c>
      <c r="E97" s="42">
        <f t="shared" si="9"/>
        <v>-760</v>
      </c>
      <c r="F97" s="42">
        <f t="shared" si="5"/>
        <v>-10815.471709877209</v>
      </c>
    </row>
    <row r="98" spans="2:6" x14ac:dyDescent="0.2">
      <c r="B98" s="37">
        <f t="shared" si="6"/>
        <v>87</v>
      </c>
      <c r="C98" s="42">
        <f t="shared" si="7"/>
        <v>-10815.471709877209</v>
      </c>
      <c r="D98" s="3">
        <f t="shared" si="8"/>
        <v>-27.166072332399999</v>
      </c>
      <c r="E98" s="42">
        <f t="shared" si="9"/>
        <v>-760</v>
      </c>
      <c r="F98" s="42">
        <f t="shared" si="5"/>
        <v>-11602.637782209609</v>
      </c>
    </row>
    <row r="99" spans="2:6" x14ac:dyDescent="0.2">
      <c r="B99" s="37">
        <f t="shared" si="6"/>
        <v>88</v>
      </c>
      <c r="C99" s="42">
        <f t="shared" si="7"/>
        <v>-11602.637782209609</v>
      </c>
      <c r="D99" s="3">
        <f t="shared" si="8"/>
        <v>-29.143259368999999</v>
      </c>
      <c r="E99" s="42">
        <f t="shared" si="9"/>
        <v>-760</v>
      </c>
      <c r="F99" s="42">
        <f t="shared" si="5"/>
        <v>-12391.78104157861</v>
      </c>
    </row>
    <row r="100" spans="2:6" x14ac:dyDescent="0.2">
      <c r="B100" s="37">
        <f t="shared" si="6"/>
        <v>89</v>
      </c>
      <c r="C100" s="42">
        <f t="shared" si="7"/>
        <v>-12391.78104157861</v>
      </c>
      <c r="D100" s="3">
        <f t="shared" si="8"/>
        <v>-31.1254126619</v>
      </c>
      <c r="E100" s="42">
        <f t="shared" si="9"/>
        <v>-760</v>
      </c>
      <c r="F100" s="42">
        <f t="shared" si="5"/>
        <v>-13182.90645424051</v>
      </c>
    </row>
    <row r="101" spans="2:6" x14ac:dyDescent="0.2">
      <c r="B101" s="37">
        <f t="shared" si="6"/>
        <v>90</v>
      </c>
      <c r="C101" s="42">
        <f t="shared" si="7"/>
        <v>-13182.90645424051</v>
      </c>
      <c r="D101" s="3">
        <f t="shared" si="8"/>
        <v>-33.112544685499998</v>
      </c>
      <c r="E101" s="42">
        <f t="shared" si="9"/>
        <v>-760</v>
      </c>
      <c r="F101" s="42">
        <f t="shared" si="5"/>
        <v>-13976.018998926011</v>
      </c>
    </row>
    <row r="102" spans="2:6" x14ac:dyDescent="0.2">
      <c r="B102" s="37">
        <f t="shared" si="6"/>
        <v>91</v>
      </c>
      <c r="C102" s="42">
        <f t="shared" si="7"/>
        <v>-13976.018998926011</v>
      </c>
      <c r="D102" s="3">
        <f t="shared" si="8"/>
        <v>-35.104667945099997</v>
      </c>
      <c r="E102" s="42">
        <f t="shared" si="9"/>
        <v>-760</v>
      </c>
      <c r="F102" s="42">
        <f t="shared" si="5"/>
        <v>-14771.12366687111</v>
      </c>
    </row>
    <row r="103" spans="2:6" x14ac:dyDescent="0.2">
      <c r="B103" s="37">
        <f t="shared" si="6"/>
        <v>92</v>
      </c>
      <c r="C103" s="42">
        <f t="shared" si="7"/>
        <v>-14771.12366687111</v>
      </c>
      <c r="D103" s="3">
        <f t="shared" si="8"/>
        <v>-37.101794977600001</v>
      </c>
      <c r="E103" s="42">
        <f t="shared" si="9"/>
        <v>-760</v>
      </c>
      <c r="F103" s="42">
        <f t="shared" si="5"/>
        <v>-15568.22546184871</v>
      </c>
    </row>
    <row r="104" spans="2:6" x14ac:dyDescent="0.2">
      <c r="B104" s="37">
        <f t="shared" si="6"/>
        <v>93</v>
      </c>
      <c r="C104" s="42">
        <f t="shared" si="7"/>
        <v>-15568.22546184871</v>
      </c>
      <c r="D104" s="3">
        <f t="shared" si="8"/>
        <v>-39.103938351399997</v>
      </c>
      <c r="E104" s="42">
        <f t="shared" si="9"/>
        <v>-760</v>
      </c>
      <c r="F104" s="42">
        <f t="shared" si="5"/>
        <v>-16367.329400200109</v>
      </c>
    </row>
    <row r="105" spans="2:6" x14ac:dyDescent="0.2">
      <c r="B105" s="37">
        <f t="shared" si="6"/>
        <v>94</v>
      </c>
      <c r="C105" s="42">
        <f t="shared" si="7"/>
        <v>-16367.329400200109</v>
      </c>
      <c r="D105" s="3">
        <f t="shared" si="8"/>
        <v>-41.111110666499997</v>
      </c>
      <c r="E105" s="42">
        <f t="shared" si="9"/>
        <v>-760</v>
      </c>
      <c r="F105" s="42">
        <f t="shared" si="5"/>
        <v>-17168.440510866611</v>
      </c>
    </row>
    <row r="106" spans="2:6" x14ac:dyDescent="0.2">
      <c r="B106" s="37">
        <f t="shared" si="6"/>
        <v>95</v>
      </c>
      <c r="C106" s="42">
        <f t="shared" si="7"/>
        <v>-17168.440510866611</v>
      </c>
      <c r="D106" s="3">
        <f t="shared" si="8"/>
        <v>-43.123324554299998</v>
      </c>
      <c r="E106" s="42">
        <f t="shared" si="9"/>
        <v>-760</v>
      </c>
      <c r="F106" s="42">
        <f t="shared" si="5"/>
        <v>-17971.563835420911</v>
      </c>
    </row>
    <row r="107" spans="2:6" x14ac:dyDescent="0.2">
      <c r="B107" s="37">
        <f t="shared" si="6"/>
        <v>96</v>
      </c>
      <c r="C107" s="42">
        <f t="shared" si="7"/>
        <v>-17971.563835420911</v>
      </c>
      <c r="D107" s="3">
        <f t="shared" si="8"/>
        <v>-45.140592678399997</v>
      </c>
      <c r="E107" s="42">
        <f t="shared" si="9"/>
        <v>-760</v>
      </c>
      <c r="F107" s="42">
        <f t="shared" si="5"/>
        <v>-18776.70442809931</v>
      </c>
    </row>
    <row r="108" spans="2:6" x14ac:dyDescent="0.2">
      <c r="B108" s="37">
        <f t="shared" si="6"/>
        <v>97</v>
      </c>
      <c r="C108" s="42">
        <f t="shared" si="7"/>
        <v>-18776.70442809931</v>
      </c>
      <c r="D108" s="3">
        <f t="shared" si="8"/>
        <v>-47.162927733700002</v>
      </c>
      <c r="E108" s="42">
        <f t="shared" si="9"/>
        <v>-760</v>
      </c>
      <c r="F108" s="42">
        <f t="shared" si="5"/>
        <v>-19583.867355833012</v>
      </c>
    </row>
    <row r="109" spans="2:6" x14ac:dyDescent="0.2">
      <c r="B109" s="37">
        <f t="shared" si="6"/>
        <v>98</v>
      </c>
      <c r="C109" s="42">
        <f t="shared" si="7"/>
        <v>-19583.867355833012</v>
      </c>
      <c r="D109" s="3">
        <f t="shared" si="8"/>
        <v>-49.190342447299997</v>
      </c>
      <c r="E109" s="42">
        <f t="shared" si="9"/>
        <v>-760</v>
      </c>
      <c r="F109" s="42">
        <f t="shared" si="5"/>
        <v>-20393.05769828031</v>
      </c>
    </row>
    <row r="110" spans="2:6" x14ac:dyDescent="0.2">
      <c r="B110" s="37">
        <f t="shared" si="6"/>
        <v>99</v>
      </c>
      <c r="C110" s="42">
        <f t="shared" si="7"/>
        <v>-20393.05769828031</v>
      </c>
      <c r="D110" s="3">
        <f t="shared" si="8"/>
        <v>-51.222849578100003</v>
      </c>
      <c r="E110" s="42">
        <f t="shared" si="9"/>
        <v>-760</v>
      </c>
      <c r="F110" s="42">
        <f t="shared" si="5"/>
        <v>-21204.280547858409</v>
      </c>
    </row>
    <row r="111" spans="2:6" x14ac:dyDescent="0.2">
      <c r="B111" s="37">
        <f t="shared" si="6"/>
        <v>100</v>
      </c>
      <c r="C111" s="42">
        <f t="shared" si="7"/>
        <v>-21204.280547858409</v>
      </c>
      <c r="D111" s="3">
        <f t="shared" si="8"/>
        <v>-53.260461917199997</v>
      </c>
      <c r="E111" s="42">
        <f t="shared" si="9"/>
        <v>-760</v>
      </c>
      <c r="F111" s="42">
        <f t="shared" si="5"/>
        <v>-22017.54100977561</v>
      </c>
    </row>
    <row r="112" spans="2:6" x14ac:dyDescent="0.2">
      <c r="B112" s="37">
        <f t="shared" si="6"/>
        <v>101</v>
      </c>
      <c r="C112" s="42">
        <f t="shared" si="7"/>
        <v>-22017.54100977561</v>
      </c>
      <c r="D112" s="3">
        <f t="shared" si="8"/>
        <v>-55.3031922877</v>
      </c>
      <c r="E112" s="42">
        <f t="shared" si="9"/>
        <v>-760</v>
      </c>
      <c r="F112" s="42">
        <f t="shared" si="5"/>
        <v>-22832.844202063312</v>
      </c>
    </row>
    <row r="113" spans="2:6" x14ac:dyDescent="0.2">
      <c r="B113" s="37">
        <f t="shared" si="6"/>
        <v>102</v>
      </c>
      <c r="C113" s="42">
        <f t="shared" si="7"/>
        <v>-22832.844202063312</v>
      </c>
      <c r="D113" s="3">
        <f t="shared" si="8"/>
        <v>-57.351053545100001</v>
      </c>
      <c r="E113" s="42">
        <f t="shared" si="9"/>
        <v>-760</v>
      </c>
      <c r="F113" s="42">
        <f t="shared" si="5"/>
        <v>-23650.195255608411</v>
      </c>
    </row>
    <row r="114" spans="2:6" x14ac:dyDescent="0.2">
      <c r="B114" s="37">
        <f t="shared" si="6"/>
        <v>103</v>
      </c>
      <c r="C114" s="42">
        <f t="shared" si="7"/>
        <v>-23650.195255608411</v>
      </c>
      <c r="D114" s="3">
        <f t="shared" si="8"/>
        <v>-59.404058576899999</v>
      </c>
      <c r="E114" s="42">
        <f t="shared" si="9"/>
        <v>-760</v>
      </c>
      <c r="F114" s="42">
        <f t="shared" si="5"/>
        <v>-24469.599314185311</v>
      </c>
    </row>
    <row r="115" spans="2:6" x14ac:dyDescent="0.2">
      <c r="B115" s="37">
        <f t="shared" si="6"/>
        <v>104</v>
      </c>
      <c r="C115" s="42">
        <f t="shared" si="7"/>
        <v>-24469.599314185311</v>
      </c>
      <c r="D115" s="3">
        <f t="shared" si="8"/>
        <v>-61.462220303099997</v>
      </c>
      <c r="E115" s="42">
        <f t="shared" si="9"/>
        <v>-760</v>
      </c>
      <c r="F115" s="42">
        <f t="shared" si="5"/>
        <v>-25291.06153448841</v>
      </c>
    </row>
    <row r="116" spans="2:6" x14ac:dyDescent="0.2">
      <c r="B116" s="37">
        <f t="shared" si="6"/>
        <v>105</v>
      </c>
      <c r="C116" s="42">
        <f t="shared" si="7"/>
        <v>-25291.06153448841</v>
      </c>
      <c r="D116" s="3">
        <f t="shared" si="8"/>
        <v>-63.525551676399999</v>
      </c>
      <c r="E116" s="42">
        <f t="shared" si="9"/>
        <v>-760</v>
      </c>
      <c r="F116" s="42">
        <f t="shared" si="5"/>
        <v>-26114.587086164811</v>
      </c>
    </row>
    <row r="117" spans="2:6" x14ac:dyDescent="0.2">
      <c r="B117" s="37">
        <f t="shared" si="6"/>
        <v>106</v>
      </c>
      <c r="C117" s="42">
        <f t="shared" si="7"/>
        <v>-26114.587086164811</v>
      </c>
      <c r="D117" s="3">
        <f t="shared" si="8"/>
        <v>-65.594065681499998</v>
      </c>
      <c r="E117" s="42">
        <f t="shared" si="9"/>
        <v>-760</v>
      </c>
      <c r="F117" s="42">
        <f t="shared" si="5"/>
        <v>-26940.181151846311</v>
      </c>
    </row>
    <row r="118" spans="2:6" x14ac:dyDescent="0.2">
      <c r="B118" s="37">
        <f t="shared" si="6"/>
        <v>107</v>
      </c>
      <c r="C118" s="42">
        <f t="shared" si="7"/>
        <v>-26940.181151846311</v>
      </c>
      <c r="D118" s="3">
        <f t="shared" si="8"/>
        <v>-67.667775336299997</v>
      </c>
      <c r="E118" s="42">
        <f t="shared" si="9"/>
        <v>-760</v>
      </c>
      <c r="F118" s="42">
        <f t="shared" si="5"/>
        <v>-27767.848927182611</v>
      </c>
    </row>
    <row r="119" spans="2:6" x14ac:dyDescent="0.2">
      <c r="B119" s="37">
        <f t="shared" si="6"/>
        <v>108</v>
      </c>
      <c r="C119" s="42">
        <f t="shared" si="7"/>
        <v>-27767.848927182611</v>
      </c>
      <c r="D119" s="3">
        <f t="shared" si="8"/>
        <v>-69.746693691000004</v>
      </c>
      <c r="E119" s="42">
        <f t="shared" si="9"/>
        <v>-760</v>
      </c>
      <c r="F119" s="42">
        <f t="shared" si="5"/>
        <v>-28597.59562087361</v>
      </c>
    </row>
    <row r="120" spans="2:6" x14ac:dyDescent="0.2">
      <c r="B120" s="37">
        <f t="shared" si="6"/>
        <v>109</v>
      </c>
      <c r="C120" s="42">
        <f t="shared" si="7"/>
        <v>-28597.59562087361</v>
      </c>
      <c r="D120" s="3">
        <f t="shared" si="8"/>
        <v>-71.830833828600007</v>
      </c>
      <c r="E120" s="42">
        <f t="shared" si="9"/>
        <v>-760</v>
      </c>
      <c r="F120" s="42">
        <f t="shared" si="5"/>
        <v>-29429.42645470221</v>
      </c>
    </row>
    <row r="121" spans="2:6" x14ac:dyDescent="0.2">
      <c r="B121" s="37">
        <f t="shared" si="6"/>
        <v>110</v>
      </c>
      <c r="C121" s="42">
        <f t="shared" si="7"/>
        <v>-29429.42645470221</v>
      </c>
      <c r="D121" s="3">
        <f t="shared" si="8"/>
        <v>-73.920208865299998</v>
      </c>
      <c r="E121" s="42">
        <f t="shared" si="9"/>
        <v>-760</v>
      </c>
      <c r="F121" s="42">
        <f t="shared" si="5"/>
        <v>-30263.34666356751</v>
      </c>
    </row>
    <row r="122" spans="2:6" x14ac:dyDescent="0.2">
      <c r="B122" s="37">
        <f t="shared" si="6"/>
        <v>111</v>
      </c>
      <c r="C122" s="42">
        <f t="shared" si="7"/>
        <v>-30263.34666356751</v>
      </c>
      <c r="D122" s="3">
        <f t="shared" si="8"/>
        <v>-76.014831949799998</v>
      </c>
      <c r="E122" s="42">
        <f t="shared" si="9"/>
        <v>-760</v>
      </c>
      <c r="F122" s="42">
        <f t="shared" si="5"/>
        <v>-31099.361495517311</v>
      </c>
    </row>
    <row r="123" spans="2:6" x14ac:dyDescent="0.2">
      <c r="B123" s="37">
        <f t="shared" si="6"/>
        <v>112</v>
      </c>
      <c r="C123" s="42">
        <f t="shared" si="7"/>
        <v>-31099.361495517311</v>
      </c>
      <c r="D123" s="3">
        <f t="shared" si="8"/>
        <v>-78.114716264099997</v>
      </c>
      <c r="E123" s="42">
        <f t="shared" si="9"/>
        <v>-760</v>
      </c>
      <c r="F123" s="42">
        <f t="shared" si="5"/>
        <v>-31937.47621178141</v>
      </c>
    </row>
    <row r="124" spans="2:6" x14ac:dyDescent="0.2">
      <c r="B124" s="37">
        <f t="shared" si="6"/>
        <v>113</v>
      </c>
      <c r="C124" s="42">
        <f t="shared" si="7"/>
        <v>-31937.47621178141</v>
      </c>
      <c r="D124" s="3">
        <f t="shared" si="8"/>
        <v>-80.219875023300006</v>
      </c>
      <c r="E124" s="42">
        <f t="shared" si="9"/>
        <v>-760</v>
      </c>
      <c r="F124" s="42">
        <f t="shared" si="5"/>
        <v>-32777.69608680471</v>
      </c>
    </row>
    <row r="125" spans="2:6" x14ac:dyDescent="0.2">
      <c r="B125" s="37">
        <f t="shared" si="6"/>
        <v>114</v>
      </c>
      <c r="C125" s="42">
        <f t="shared" si="7"/>
        <v>-32777.69608680471</v>
      </c>
      <c r="D125" s="3">
        <f t="shared" si="8"/>
        <v>-82.330321475600002</v>
      </c>
      <c r="E125" s="42">
        <f t="shared" si="9"/>
        <v>-760</v>
      </c>
      <c r="F125" s="42">
        <f t="shared" si="5"/>
        <v>-33620.026408280311</v>
      </c>
    </row>
    <row r="126" spans="2:6" x14ac:dyDescent="0.2">
      <c r="B126" s="37">
        <f t="shared" si="6"/>
        <v>115</v>
      </c>
      <c r="C126" s="42">
        <f t="shared" si="7"/>
        <v>-33620.026408280311</v>
      </c>
      <c r="D126" s="3">
        <f t="shared" si="8"/>
        <v>-84.446068902500002</v>
      </c>
      <c r="E126" s="42">
        <f t="shared" si="9"/>
        <v>-760</v>
      </c>
      <c r="F126" s="42">
        <f t="shared" si="5"/>
        <v>-34464.472477182811</v>
      </c>
    </row>
    <row r="127" spans="2:6" x14ac:dyDescent="0.2">
      <c r="B127" s="37">
        <f t="shared" si="6"/>
        <v>116</v>
      </c>
      <c r="C127" s="42">
        <f t="shared" si="7"/>
        <v>-34464.472477182811</v>
      </c>
      <c r="D127" s="3">
        <f t="shared" si="8"/>
        <v>-86.567130618899995</v>
      </c>
      <c r="E127" s="42">
        <f t="shared" si="9"/>
        <v>-760</v>
      </c>
      <c r="F127" s="42">
        <f t="shared" si="5"/>
        <v>-35311.039607801715</v>
      </c>
    </row>
    <row r="128" spans="2:6" x14ac:dyDescent="0.2">
      <c r="B128" s="37">
        <f t="shared" si="6"/>
        <v>117</v>
      </c>
      <c r="C128" s="42">
        <f t="shared" si="7"/>
        <v>-35311.039607801715</v>
      </c>
      <c r="D128" s="3">
        <f t="shared" si="8"/>
        <v>-88.693519973199997</v>
      </c>
      <c r="E128" s="42">
        <f t="shared" si="9"/>
        <v>-760</v>
      </c>
      <c r="F128" s="42">
        <f t="shared" si="5"/>
        <v>-36159.733127774918</v>
      </c>
    </row>
    <row r="129" spans="2:6" x14ac:dyDescent="0.2">
      <c r="B129" s="37">
        <f t="shared" si="6"/>
        <v>118</v>
      </c>
      <c r="C129" s="42">
        <f t="shared" si="7"/>
        <v>-36159.733127774918</v>
      </c>
      <c r="D129" s="3">
        <f t="shared" si="8"/>
        <v>-90.825250346999994</v>
      </c>
      <c r="E129" s="42">
        <f t="shared" si="9"/>
        <v>-760</v>
      </c>
      <c r="F129" s="42">
        <f t="shared" si="5"/>
        <v>-37010.558378121917</v>
      </c>
    </row>
    <row r="130" spans="2:6" x14ac:dyDescent="0.2">
      <c r="B130" s="37">
        <f t="shared" si="6"/>
        <v>119</v>
      </c>
      <c r="C130" s="42">
        <f t="shared" si="7"/>
        <v>-37010.558378121917</v>
      </c>
      <c r="D130" s="3">
        <f t="shared" si="8"/>
        <v>-92.962335155999995</v>
      </c>
      <c r="E130" s="42">
        <f t="shared" si="9"/>
        <v>-760</v>
      </c>
      <c r="F130" s="42">
        <f t="shared" si="5"/>
        <v>-37863.520713277918</v>
      </c>
    </row>
    <row r="131" spans="2:6" x14ac:dyDescent="0.2">
      <c r="B131" s="37">
        <f t="shared" si="6"/>
        <v>120</v>
      </c>
      <c r="C131" s="42">
        <f t="shared" ref="C131:C194" si="10">F130</f>
        <v>-37863.520713277918</v>
      </c>
      <c r="D131" s="3">
        <f t="shared" si="8"/>
        <v>-95.104787849299996</v>
      </c>
      <c r="E131" s="42">
        <f t="shared" si="9"/>
        <v>-760</v>
      </c>
      <c r="F131" s="42">
        <f t="shared" ref="F131:F194" si="11">SUM(C131:E131)</f>
        <v>-38718.625501127215</v>
      </c>
    </row>
    <row r="132" spans="2:6" x14ac:dyDescent="0.2">
      <c r="B132" s="37">
        <f t="shared" si="6"/>
        <v>121</v>
      </c>
      <c r="C132" s="42">
        <f t="shared" si="10"/>
        <v>-38718.625501127215</v>
      </c>
      <c r="D132" s="3">
        <f t="shared" si="8"/>
        <v>-97.252621909699997</v>
      </c>
      <c r="E132" s="42">
        <f t="shared" si="9"/>
        <v>-760</v>
      </c>
      <c r="F132" s="42">
        <f t="shared" si="11"/>
        <v>-39575.878123036913</v>
      </c>
    </row>
    <row r="133" spans="2:6" x14ac:dyDescent="0.2">
      <c r="B133" s="37">
        <f t="shared" si="6"/>
        <v>122</v>
      </c>
      <c r="C133" s="42">
        <f t="shared" si="10"/>
        <v>-39575.878123036913</v>
      </c>
      <c r="D133" s="3">
        <f t="shared" si="8"/>
        <v>-99.405850854199997</v>
      </c>
      <c r="E133" s="42">
        <f t="shared" si="9"/>
        <v>-760</v>
      </c>
      <c r="F133" s="42">
        <f t="shared" si="11"/>
        <v>-40435.283973891113</v>
      </c>
    </row>
    <row r="134" spans="2:6" x14ac:dyDescent="0.2">
      <c r="B134" s="37">
        <f t="shared" si="6"/>
        <v>123</v>
      </c>
      <c r="C134" s="42">
        <f t="shared" si="10"/>
        <v>-40435.283973891113</v>
      </c>
      <c r="D134" s="3">
        <f t="shared" si="8"/>
        <v>-101.5644882335</v>
      </c>
      <c r="E134" s="42">
        <f t="shared" si="9"/>
        <v>-760</v>
      </c>
      <c r="F134" s="42">
        <f t="shared" si="11"/>
        <v>-41296.84846212461</v>
      </c>
    </row>
    <row r="135" spans="2:6" x14ac:dyDescent="0.2">
      <c r="B135" s="37">
        <f t="shared" si="6"/>
        <v>124</v>
      </c>
      <c r="C135" s="42">
        <f t="shared" si="10"/>
        <v>-41296.84846212461</v>
      </c>
      <c r="D135" s="3">
        <f t="shared" si="8"/>
        <v>-103.72854763230001</v>
      </c>
      <c r="E135" s="42">
        <f t="shared" si="9"/>
        <v>-760</v>
      </c>
      <c r="F135" s="42">
        <f t="shared" si="11"/>
        <v>-42160.577009756911</v>
      </c>
    </row>
    <row r="136" spans="2:6" x14ac:dyDescent="0.2">
      <c r="B136" s="37">
        <f t="shared" si="6"/>
        <v>125</v>
      </c>
      <c r="C136" s="42">
        <f t="shared" si="10"/>
        <v>-42160.577009756911</v>
      </c>
      <c r="D136" s="3">
        <f t="shared" si="8"/>
        <v>-105.8980426696</v>
      </c>
      <c r="E136" s="42">
        <f t="shared" si="9"/>
        <v>-760</v>
      </c>
      <c r="F136" s="42">
        <f t="shared" si="11"/>
        <v>-43026.475052426511</v>
      </c>
    </row>
    <row r="137" spans="2:6" x14ac:dyDescent="0.2">
      <c r="B137" s="37">
        <f t="shared" si="6"/>
        <v>126</v>
      </c>
      <c r="C137" s="42">
        <f t="shared" si="10"/>
        <v>-43026.475052426511</v>
      </c>
      <c r="D137" s="3">
        <f t="shared" si="8"/>
        <v>-108.0729869985</v>
      </c>
      <c r="E137" s="42">
        <f t="shared" si="9"/>
        <v>-760</v>
      </c>
      <c r="F137" s="42">
        <f t="shared" si="11"/>
        <v>-43894.548039425012</v>
      </c>
    </row>
    <row r="138" spans="2:6" x14ac:dyDescent="0.2">
      <c r="B138" s="37">
        <f t="shared" si="6"/>
        <v>127</v>
      </c>
      <c r="C138" s="42">
        <f t="shared" si="10"/>
        <v>-43894.548039425012</v>
      </c>
      <c r="D138" s="3">
        <f t="shared" si="8"/>
        <v>-110.2533943064</v>
      </c>
      <c r="E138" s="42">
        <f t="shared" si="9"/>
        <v>-760</v>
      </c>
      <c r="F138" s="42">
        <f t="shared" si="11"/>
        <v>-44764.801433731409</v>
      </c>
    </row>
    <row r="139" spans="2:6" x14ac:dyDescent="0.2">
      <c r="B139" s="37">
        <f t="shared" si="6"/>
        <v>128</v>
      </c>
      <c r="C139" s="42">
        <f t="shared" si="10"/>
        <v>-44764.801433731409</v>
      </c>
      <c r="D139" s="3">
        <f t="shared" si="8"/>
        <v>-112.4392783151</v>
      </c>
      <c r="E139" s="42">
        <f t="shared" si="9"/>
        <v>-760</v>
      </c>
      <c r="F139" s="42">
        <f t="shared" si="11"/>
        <v>-45637.240712046507</v>
      </c>
    </row>
    <row r="140" spans="2:6" x14ac:dyDescent="0.2">
      <c r="B140" s="37">
        <f t="shared" si="6"/>
        <v>129</v>
      </c>
      <c r="C140" s="42">
        <f t="shared" si="10"/>
        <v>-45637.240712046507</v>
      </c>
      <c r="D140" s="3">
        <f t="shared" si="8"/>
        <v>-114.63065278089999</v>
      </c>
      <c r="E140" s="42">
        <f t="shared" si="9"/>
        <v>-760</v>
      </c>
      <c r="F140" s="42">
        <f t="shared" si="11"/>
        <v>-46511.871364827406</v>
      </c>
    </row>
    <row r="141" spans="2:6" x14ac:dyDescent="0.2">
      <c r="B141" s="37">
        <f t="shared" ref="B141:B204" si="12">+B140+1</f>
        <v>130</v>
      </c>
      <c r="C141" s="42">
        <f t="shared" si="10"/>
        <v>-46511.871364827406</v>
      </c>
      <c r="D141" s="3">
        <f t="shared" ref="D141:D204" si="13">ROUND(C141*$E$4,10)</f>
        <v>-116.82753149449999</v>
      </c>
      <c r="E141" s="42">
        <f t="shared" ref="E141:E204" si="14">-ROUND($C$8,10)</f>
        <v>-760</v>
      </c>
      <c r="F141" s="42">
        <f t="shared" si="11"/>
        <v>-47388.698896321905</v>
      </c>
    </row>
    <row r="142" spans="2:6" x14ac:dyDescent="0.2">
      <c r="B142" s="37">
        <f t="shared" si="12"/>
        <v>131</v>
      </c>
      <c r="C142" s="42">
        <f t="shared" si="10"/>
        <v>-47388.698896321905</v>
      </c>
      <c r="D142" s="3">
        <f t="shared" si="13"/>
        <v>-119.02992828150001</v>
      </c>
      <c r="E142" s="42">
        <f t="shared" si="14"/>
        <v>-760</v>
      </c>
      <c r="F142" s="42">
        <f t="shared" si="11"/>
        <v>-48267.728824603408</v>
      </c>
    </row>
    <row r="143" spans="2:6" x14ac:dyDescent="0.2">
      <c r="B143" s="37">
        <f t="shared" si="12"/>
        <v>132</v>
      </c>
      <c r="C143" s="42">
        <f t="shared" si="10"/>
        <v>-48267.728824603408</v>
      </c>
      <c r="D143" s="3">
        <f t="shared" si="13"/>
        <v>-121.237857002</v>
      </c>
      <c r="E143" s="42">
        <f t="shared" si="14"/>
        <v>-760</v>
      </c>
      <c r="F143" s="42">
        <f t="shared" si="11"/>
        <v>-49148.966681605409</v>
      </c>
    </row>
    <row r="144" spans="2:6" x14ac:dyDescent="0.2">
      <c r="B144" s="37">
        <f t="shared" si="12"/>
        <v>133</v>
      </c>
      <c r="C144" s="42">
        <f t="shared" si="10"/>
        <v>-49148.966681605409</v>
      </c>
      <c r="D144" s="3">
        <f t="shared" si="13"/>
        <v>-123.451331551</v>
      </c>
      <c r="E144" s="42">
        <f t="shared" si="14"/>
        <v>-760</v>
      </c>
      <c r="F144" s="42">
        <f t="shared" si="11"/>
        <v>-50032.418013156406</v>
      </c>
    </row>
    <row r="145" spans="2:6" x14ac:dyDescent="0.2">
      <c r="B145" s="37">
        <f t="shared" si="12"/>
        <v>134</v>
      </c>
      <c r="C145" s="42">
        <f t="shared" si="10"/>
        <v>-50032.418013156406</v>
      </c>
      <c r="D145" s="3">
        <f t="shared" si="13"/>
        <v>-125.67036585850001</v>
      </c>
      <c r="E145" s="42">
        <f t="shared" si="14"/>
        <v>-760</v>
      </c>
      <c r="F145" s="42">
        <f t="shared" si="11"/>
        <v>-50918.088379014909</v>
      </c>
    </row>
    <row r="146" spans="2:6" x14ac:dyDescent="0.2">
      <c r="B146" s="37">
        <f t="shared" si="12"/>
        <v>135</v>
      </c>
      <c r="C146" s="42">
        <f t="shared" si="10"/>
        <v>-50918.088379014909</v>
      </c>
      <c r="D146" s="3">
        <f t="shared" si="13"/>
        <v>-127.8949738892</v>
      </c>
      <c r="E146" s="42">
        <f t="shared" si="14"/>
        <v>-760</v>
      </c>
      <c r="F146" s="42">
        <f t="shared" si="11"/>
        <v>-51805.983352904106</v>
      </c>
    </row>
    <row r="147" spans="2:6" x14ac:dyDescent="0.2">
      <c r="B147" s="37">
        <f t="shared" si="12"/>
        <v>136</v>
      </c>
      <c r="C147" s="42">
        <f t="shared" si="10"/>
        <v>-51805.983352904106</v>
      </c>
      <c r="D147" s="3">
        <f t="shared" si="13"/>
        <v>-130.12516964310001</v>
      </c>
      <c r="E147" s="42">
        <f t="shared" si="14"/>
        <v>-760</v>
      </c>
      <c r="F147" s="42">
        <f t="shared" si="11"/>
        <v>-52696.108522547205</v>
      </c>
    </row>
    <row r="148" spans="2:6" x14ac:dyDescent="0.2">
      <c r="B148" s="37">
        <f t="shared" si="12"/>
        <v>137</v>
      </c>
      <c r="C148" s="42">
        <f t="shared" si="10"/>
        <v>-52696.108522547205</v>
      </c>
      <c r="D148" s="3">
        <f t="shared" si="13"/>
        <v>-132.3609671554</v>
      </c>
      <c r="E148" s="42">
        <f t="shared" si="14"/>
        <v>-760</v>
      </c>
      <c r="F148" s="42">
        <f t="shared" si="11"/>
        <v>-53588.469489702606</v>
      </c>
    </row>
    <row r="149" spans="2:6" x14ac:dyDescent="0.2">
      <c r="B149" s="37">
        <f t="shared" si="12"/>
        <v>138</v>
      </c>
      <c r="C149" s="42">
        <f t="shared" si="10"/>
        <v>-53588.469489702606</v>
      </c>
      <c r="D149" s="3">
        <f t="shared" si="13"/>
        <v>-134.60238049649999</v>
      </c>
      <c r="E149" s="42">
        <f t="shared" si="14"/>
        <v>-760</v>
      </c>
      <c r="F149" s="42">
        <f t="shared" si="11"/>
        <v>-54483.071870199106</v>
      </c>
    </row>
    <row r="150" spans="2:6" x14ac:dyDescent="0.2">
      <c r="B150" s="37">
        <f t="shared" si="12"/>
        <v>139</v>
      </c>
      <c r="C150" s="42">
        <f t="shared" si="10"/>
        <v>-54483.071870199106</v>
      </c>
      <c r="D150" s="3">
        <f t="shared" si="13"/>
        <v>-136.84942377199999</v>
      </c>
      <c r="E150" s="42">
        <f t="shared" si="14"/>
        <v>-760</v>
      </c>
      <c r="F150" s="42">
        <f t="shared" si="11"/>
        <v>-55379.921293971107</v>
      </c>
    </row>
    <row r="151" spans="2:6" x14ac:dyDescent="0.2">
      <c r="B151" s="37">
        <f t="shared" si="12"/>
        <v>140</v>
      </c>
      <c r="C151" s="42">
        <f t="shared" si="10"/>
        <v>-55379.921293971107</v>
      </c>
      <c r="D151" s="3">
        <f t="shared" si="13"/>
        <v>-139.10211112319999</v>
      </c>
      <c r="E151" s="42">
        <f t="shared" si="14"/>
        <v>-760</v>
      </c>
      <c r="F151" s="42">
        <f t="shared" si="11"/>
        <v>-56279.023405094304</v>
      </c>
    </row>
    <row r="152" spans="2:6" x14ac:dyDescent="0.2">
      <c r="B152" s="37">
        <f t="shared" si="12"/>
        <v>141</v>
      </c>
      <c r="C152" s="42">
        <f t="shared" si="10"/>
        <v>-56279.023405094304</v>
      </c>
      <c r="D152" s="3">
        <f t="shared" si="13"/>
        <v>-141.36045672660001</v>
      </c>
      <c r="E152" s="42">
        <f t="shared" si="14"/>
        <v>-760</v>
      </c>
      <c r="F152" s="42">
        <f t="shared" si="11"/>
        <v>-57180.383861820905</v>
      </c>
    </row>
    <row r="153" spans="2:6" x14ac:dyDescent="0.2">
      <c r="B153" s="37">
        <f t="shared" si="12"/>
        <v>142</v>
      </c>
      <c r="C153" s="42">
        <f t="shared" si="10"/>
        <v>-57180.383861820905</v>
      </c>
      <c r="D153" s="3">
        <f t="shared" si="13"/>
        <v>-143.62447479459999</v>
      </c>
      <c r="E153" s="42">
        <f t="shared" si="14"/>
        <v>-760</v>
      </c>
      <c r="F153" s="42">
        <f t="shared" si="11"/>
        <v>-58084.008336615501</v>
      </c>
    </row>
    <row r="154" spans="2:6" x14ac:dyDescent="0.2">
      <c r="B154" s="37">
        <f t="shared" si="12"/>
        <v>143</v>
      </c>
      <c r="C154" s="42">
        <f t="shared" si="10"/>
        <v>-58084.008336615501</v>
      </c>
      <c r="D154" s="3">
        <f t="shared" si="13"/>
        <v>-145.8941795751</v>
      </c>
      <c r="E154" s="42">
        <f t="shared" si="14"/>
        <v>-760</v>
      </c>
      <c r="F154" s="42">
        <f t="shared" si="11"/>
        <v>-58989.902516190603</v>
      </c>
    </row>
    <row r="155" spans="2:6" x14ac:dyDescent="0.2">
      <c r="B155" s="37">
        <f t="shared" si="12"/>
        <v>144</v>
      </c>
      <c r="C155" s="42">
        <f t="shared" si="10"/>
        <v>-58989.902516190603</v>
      </c>
      <c r="D155" s="3">
        <f t="shared" si="13"/>
        <v>-148.1695853519</v>
      </c>
      <c r="E155" s="42">
        <f t="shared" si="14"/>
        <v>-760</v>
      </c>
      <c r="F155" s="42">
        <f t="shared" si="11"/>
        <v>-59898.072101542501</v>
      </c>
    </row>
    <row r="156" spans="2:6" x14ac:dyDescent="0.2">
      <c r="B156" s="37">
        <f t="shared" si="12"/>
        <v>145</v>
      </c>
      <c r="C156" s="42">
        <f t="shared" si="10"/>
        <v>-59898.072101542501</v>
      </c>
      <c r="D156" s="3">
        <f t="shared" si="13"/>
        <v>-150.45070644469999</v>
      </c>
      <c r="E156" s="42">
        <f t="shared" si="14"/>
        <v>-760</v>
      </c>
      <c r="F156" s="42">
        <f t="shared" si="11"/>
        <v>-60808.522807987203</v>
      </c>
    </row>
    <row r="157" spans="2:6" x14ac:dyDescent="0.2">
      <c r="B157" s="37">
        <f t="shared" si="12"/>
        <v>146</v>
      </c>
      <c r="C157" s="42">
        <f t="shared" si="10"/>
        <v>-60808.522807987203</v>
      </c>
      <c r="D157" s="3">
        <f t="shared" si="13"/>
        <v>-152.7375572091</v>
      </c>
      <c r="E157" s="42">
        <f t="shared" si="14"/>
        <v>-760</v>
      </c>
      <c r="F157" s="42">
        <f t="shared" si="11"/>
        <v>-61721.2603651963</v>
      </c>
    </row>
    <row r="158" spans="2:6" x14ac:dyDescent="0.2">
      <c r="B158" s="37">
        <f t="shared" si="12"/>
        <v>147</v>
      </c>
      <c r="C158" s="42">
        <f t="shared" si="10"/>
        <v>-61721.2603651963</v>
      </c>
      <c r="D158" s="3">
        <f t="shared" si="13"/>
        <v>-155.03015203659999</v>
      </c>
      <c r="E158" s="42">
        <f t="shared" si="14"/>
        <v>-760</v>
      </c>
      <c r="F158" s="42">
        <f t="shared" si="11"/>
        <v>-62636.290517232897</v>
      </c>
    </row>
    <row r="159" spans="2:6" x14ac:dyDescent="0.2">
      <c r="B159" s="37">
        <f t="shared" si="12"/>
        <v>148</v>
      </c>
      <c r="C159" s="42">
        <f t="shared" si="10"/>
        <v>-62636.290517232897</v>
      </c>
      <c r="D159" s="3">
        <f t="shared" si="13"/>
        <v>-157.32850535520001</v>
      </c>
      <c r="E159" s="42">
        <f t="shared" si="14"/>
        <v>-760</v>
      </c>
      <c r="F159" s="42">
        <f t="shared" si="11"/>
        <v>-63553.6190225881</v>
      </c>
    </row>
    <row r="160" spans="2:6" x14ac:dyDescent="0.2">
      <c r="B160" s="37">
        <f t="shared" si="12"/>
        <v>149</v>
      </c>
      <c r="C160" s="42">
        <f t="shared" si="10"/>
        <v>-63553.6190225881</v>
      </c>
      <c r="D160" s="3">
        <f t="shared" si="13"/>
        <v>-159.63263162889999</v>
      </c>
      <c r="E160" s="42">
        <f t="shared" si="14"/>
        <v>-760</v>
      </c>
      <c r="F160" s="42">
        <f t="shared" si="11"/>
        <v>-64473.251654216998</v>
      </c>
    </row>
    <row r="161" spans="2:6" x14ac:dyDescent="0.2">
      <c r="B161" s="37">
        <f t="shared" si="12"/>
        <v>150</v>
      </c>
      <c r="C161" s="42">
        <f t="shared" si="10"/>
        <v>-64473.251654216998</v>
      </c>
      <c r="D161" s="3">
        <f t="shared" si="13"/>
        <v>-161.94254535810001</v>
      </c>
      <c r="E161" s="42">
        <f t="shared" si="14"/>
        <v>-760</v>
      </c>
      <c r="F161" s="42">
        <f t="shared" si="11"/>
        <v>-65395.194199575097</v>
      </c>
    </row>
    <row r="162" spans="2:6" x14ac:dyDescent="0.2">
      <c r="B162" s="37">
        <f t="shared" si="12"/>
        <v>151</v>
      </c>
      <c r="C162" s="42">
        <f t="shared" si="10"/>
        <v>-65395.194199575097</v>
      </c>
      <c r="D162" s="3">
        <f t="shared" si="13"/>
        <v>-164.25826107949999</v>
      </c>
      <c r="E162" s="42">
        <f t="shared" si="14"/>
        <v>-760</v>
      </c>
      <c r="F162" s="42">
        <f t="shared" si="11"/>
        <v>-66319.452460654604</v>
      </c>
    </row>
    <row r="163" spans="2:6" x14ac:dyDescent="0.2">
      <c r="B163" s="37">
        <f t="shared" si="12"/>
        <v>152</v>
      </c>
      <c r="C163" s="42">
        <f t="shared" si="10"/>
        <v>-66319.452460654604</v>
      </c>
      <c r="D163" s="3">
        <f t="shared" si="13"/>
        <v>-166.5797933666</v>
      </c>
      <c r="E163" s="42">
        <f t="shared" si="14"/>
        <v>-760</v>
      </c>
      <c r="F163" s="42">
        <f t="shared" si="11"/>
        <v>-67246.032254021207</v>
      </c>
    </row>
    <row r="164" spans="2:6" x14ac:dyDescent="0.2">
      <c r="B164" s="37">
        <f t="shared" si="12"/>
        <v>153</v>
      </c>
      <c r="C164" s="42">
        <f t="shared" si="10"/>
        <v>-67246.032254021207</v>
      </c>
      <c r="D164" s="3">
        <f t="shared" si="13"/>
        <v>-168.90715682920001</v>
      </c>
      <c r="E164" s="42">
        <f t="shared" si="14"/>
        <v>-760</v>
      </c>
      <c r="F164" s="42">
        <f t="shared" si="11"/>
        <v>-68174.939410850406</v>
      </c>
    </row>
    <row r="165" spans="2:6" x14ac:dyDescent="0.2">
      <c r="B165" s="37">
        <f t="shared" si="12"/>
        <v>154</v>
      </c>
      <c r="C165" s="42">
        <f t="shared" si="10"/>
        <v>-68174.939410850406</v>
      </c>
      <c r="D165" s="3">
        <f t="shared" si="13"/>
        <v>-171.24036611400001</v>
      </c>
      <c r="E165" s="42">
        <f t="shared" si="14"/>
        <v>-760</v>
      </c>
      <c r="F165" s="42">
        <f t="shared" si="11"/>
        <v>-69106.179776964404</v>
      </c>
    </row>
    <row r="166" spans="2:6" x14ac:dyDescent="0.2">
      <c r="B166" s="37">
        <f t="shared" si="12"/>
        <v>155</v>
      </c>
      <c r="C166" s="42">
        <f t="shared" si="10"/>
        <v>-69106.179776964404</v>
      </c>
      <c r="D166" s="3">
        <f t="shared" si="13"/>
        <v>-173.5794359043</v>
      </c>
      <c r="E166" s="42">
        <f t="shared" si="14"/>
        <v>-760</v>
      </c>
      <c r="F166" s="42">
        <f t="shared" si="11"/>
        <v>-70039.75921286871</v>
      </c>
    </row>
    <row r="167" spans="2:6" x14ac:dyDescent="0.2">
      <c r="B167" s="37">
        <f t="shared" si="12"/>
        <v>156</v>
      </c>
      <c r="C167" s="42">
        <f t="shared" si="10"/>
        <v>-70039.75921286871</v>
      </c>
      <c r="D167" s="3">
        <f t="shared" si="13"/>
        <v>-175.9243809205</v>
      </c>
      <c r="E167" s="42">
        <f t="shared" si="14"/>
        <v>-760</v>
      </c>
      <c r="F167" s="42">
        <f t="shared" si="11"/>
        <v>-70975.683593789217</v>
      </c>
    </row>
    <row r="168" spans="2:6" x14ac:dyDescent="0.2">
      <c r="B168" s="37">
        <f t="shared" si="12"/>
        <v>157</v>
      </c>
      <c r="C168" s="42">
        <f t="shared" si="10"/>
        <v>-70975.683593789217</v>
      </c>
      <c r="D168" s="3">
        <f t="shared" si="13"/>
        <v>-178.27521591979999</v>
      </c>
      <c r="E168" s="42">
        <f t="shared" si="14"/>
        <v>-760</v>
      </c>
      <c r="F168" s="42">
        <f t="shared" si="11"/>
        <v>-71913.958809709016</v>
      </c>
    </row>
    <row r="169" spans="2:6" x14ac:dyDescent="0.2">
      <c r="B169" s="37">
        <f t="shared" si="12"/>
        <v>158</v>
      </c>
      <c r="C169" s="42">
        <f t="shared" si="10"/>
        <v>-71913.958809709016</v>
      </c>
      <c r="D169" s="3">
        <f t="shared" si="13"/>
        <v>-180.63195569659999</v>
      </c>
      <c r="E169" s="42">
        <f t="shared" si="14"/>
        <v>-760</v>
      </c>
      <c r="F169" s="42">
        <f t="shared" si="11"/>
        <v>-72854.590765405621</v>
      </c>
    </row>
    <row r="170" spans="2:6" x14ac:dyDescent="0.2">
      <c r="B170" s="37">
        <f t="shared" si="12"/>
        <v>159</v>
      </c>
      <c r="C170" s="42">
        <f t="shared" si="10"/>
        <v>-72854.590765405621</v>
      </c>
      <c r="D170" s="3">
        <f t="shared" si="13"/>
        <v>-182.9946150824</v>
      </c>
      <c r="E170" s="42">
        <f t="shared" si="14"/>
        <v>-760</v>
      </c>
      <c r="F170" s="42">
        <f t="shared" si="11"/>
        <v>-73797.585380488017</v>
      </c>
    </row>
    <row r="171" spans="2:6" x14ac:dyDescent="0.2">
      <c r="B171" s="37">
        <f t="shared" si="12"/>
        <v>160</v>
      </c>
      <c r="C171" s="42">
        <f t="shared" si="10"/>
        <v>-73797.585380488017</v>
      </c>
      <c r="D171" s="3">
        <f t="shared" si="13"/>
        <v>-185.36320894580001</v>
      </c>
      <c r="E171" s="42">
        <f t="shared" si="14"/>
        <v>-760</v>
      </c>
      <c r="F171" s="42">
        <f t="shared" si="11"/>
        <v>-74742.948589433814</v>
      </c>
    </row>
    <row r="172" spans="2:6" x14ac:dyDescent="0.2">
      <c r="B172" s="37">
        <f t="shared" si="12"/>
        <v>161</v>
      </c>
      <c r="C172" s="42">
        <f t="shared" si="10"/>
        <v>-74742.948589433814</v>
      </c>
      <c r="D172" s="3">
        <f t="shared" si="13"/>
        <v>-187.73775219309999</v>
      </c>
      <c r="E172" s="42">
        <f t="shared" si="14"/>
        <v>-760</v>
      </c>
      <c r="F172" s="42">
        <f t="shared" si="11"/>
        <v>-75690.686341626919</v>
      </c>
    </row>
    <row r="173" spans="2:6" x14ac:dyDescent="0.2">
      <c r="B173" s="37">
        <f t="shared" si="12"/>
        <v>162</v>
      </c>
      <c r="C173" s="42">
        <f t="shared" si="10"/>
        <v>-75690.686341626919</v>
      </c>
      <c r="D173" s="3">
        <f t="shared" si="13"/>
        <v>-190.11825976770001</v>
      </c>
      <c r="E173" s="42">
        <f t="shared" si="14"/>
        <v>-760</v>
      </c>
      <c r="F173" s="42">
        <f t="shared" si="11"/>
        <v>-76640.804601394615</v>
      </c>
    </row>
    <row r="174" spans="2:6" x14ac:dyDescent="0.2">
      <c r="B174" s="37">
        <f t="shared" si="12"/>
        <v>163</v>
      </c>
      <c r="C174" s="42">
        <f t="shared" si="10"/>
        <v>-76640.804601394615</v>
      </c>
      <c r="D174" s="3">
        <f t="shared" si="13"/>
        <v>-192.50474665070001</v>
      </c>
      <c r="E174" s="42">
        <f t="shared" si="14"/>
        <v>-760</v>
      </c>
      <c r="F174" s="42">
        <f t="shared" si="11"/>
        <v>-77593.30934804531</v>
      </c>
    </row>
    <row r="175" spans="2:6" x14ac:dyDescent="0.2">
      <c r="B175" s="37">
        <f t="shared" si="12"/>
        <v>164</v>
      </c>
      <c r="C175" s="42">
        <f t="shared" si="10"/>
        <v>-77593.30934804531</v>
      </c>
      <c r="D175" s="3">
        <f t="shared" si="13"/>
        <v>-194.8972278608</v>
      </c>
      <c r="E175" s="42">
        <f t="shared" si="14"/>
        <v>-760</v>
      </c>
      <c r="F175" s="42">
        <f t="shared" si="11"/>
        <v>-78548.206575906108</v>
      </c>
    </row>
    <row r="176" spans="2:6" x14ac:dyDescent="0.2">
      <c r="B176" s="37">
        <f t="shared" si="12"/>
        <v>165</v>
      </c>
      <c r="C176" s="42">
        <f t="shared" si="10"/>
        <v>-78548.206575906108</v>
      </c>
      <c r="D176" s="3">
        <f t="shared" si="13"/>
        <v>-197.29571845449999</v>
      </c>
      <c r="E176" s="42">
        <f t="shared" si="14"/>
        <v>-760</v>
      </c>
      <c r="F176" s="42">
        <f t="shared" si="11"/>
        <v>-79505.502294360602</v>
      </c>
    </row>
    <row r="177" spans="2:6" x14ac:dyDescent="0.2">
      <c r="B177" s="37">
        <f t="shared" si="12"/>
        <v>166</v>
      </c>
      <c r="C177" s="42">
        <f t="shared" si="10"/>
        <v>-79505.502294360602</v>
      </c>
      <c r="D177" s="3">
        <f t="shared" si="13"/>
        <v>-199.70023352589999</v>
      </c>
      <c r="E177" s="42">
        <f t="shared" si="14"/>
        <v>-760</v>
      </c>
      <c r="F177" s="42">
        <f t="shared" si="11"/>
        <v>-80465.202527886504</v>
      </c>
    </row>
    <row r="178" spans="2:6" x14ac:dyDescent="0.2">
      <c r="B178" s="37">
        <f t="shared" si="12"/>
        <v>167</v>
      </c>
      <c r="C178" s="42">
        <f t="shared" si="10"/>
        <v>-80465.202527886504</v>
      </c>
      <c r="D178" s="3">
        <f t="shared" si="13"/>
        <v>-202.1107882073</v>
      </c>
      <c r="E178" s="42">
        <f t="shared" si="14"/>
        <v>-760</v>
      </c>
      <c r="F178" s="42">
        <f t="shared" si="11"/>
        <v>-81427.313316093801</v>
      </c>
    </row>
    <row r="179" spans="2:6" x14ac:dyDescent="0.2">
      <c r="B179" s="37">
        <f t="shared" si="12"/>
        <v>168</v>
      </c>
      <c r="C179" s="42">
        <f t="shared" si="10"/>
        <v>-81427.313316093801</v>
      </c>
      <c r="D179" s="3">
        <f t="shared" si="13"/>
        <v>-204.52739766869999</v>
      </c>
      <c r="E179" s="42">
        <f t="shared" si="14"/>
        <v>-760</v>
      </c>
      <c r="F179" s="42">
        <f t="shared" si="11"/>
        <v>-82391.840713762504</v>
      </c>
    </row>
    <row r="180" spans="2:6" x14ac:dyDescent="0.2">
      <c r="B180" s="37">
        <f t="shared" si="12"/>
        <v>169</v>
      </c>
      <c r="C180" s="42">
        <f t="shared" si="10"/>
        <v>-82391.840713762504</v>
      </c>
      <c r="D180" s="3">
        <f t="shared" si="13"/>
        <v>-206.95007711860001</v>
      </c>
      <c r="E180" s="42">
        <f t="shared" si="14"/>
        <v>-760</v>
      </c>
      <c r="F180" s="42">
        <f t="shared" si="11"/>
        <v>-83358.790790881103</v>
      </c>
    </row>
    <row r="181" spans="2:6" x14ac:dyDescent="0.2">
      <c r="B181" s="37">
        <f t="shared" si="12"/>
        <v>170</v>
      </c>
      <c r="C181" s="42">
        <f t="shared" si="10"/>
        <v>-83358.790790881103</v>
      </c>
      <c r="D181" s="3">
        <f t="shared" si="13"/>
        <v>-209.3788418032</v>
      </c>
      <c r="E181" s="42">
        <f t="shared" si="14"/>
        <v>-760</v>
      </c>
      <c r="F181" s="42">
        <f t="shared" si="11"/>
        <v>-84328.169632684308</v>
      </c>
    </row>
    <row r="182" spans="2:6" x14ac:dyDescent="0.2">
      <c r="B182" s="37">
        <f t="shared" si="12"/>
        <v>171</v>
      </c>
      <c r="C182" s="42">
        <f t="shared" si="10"/>
        <v>-84328.169632684308</v>
      </c>
      <c r="D182" s="3">
        <f t="shared" si="13"/>
        <v>-211.8137070075</v>
      </c>
      <c r="E182" s="42">
        <f t="shared" si="14"/>
        <v>-760</v>
      </c>
      <c r="F182" s="42">
        <f t="shared" si="11"/>
        <v>-85299.983339691811</v>
      </c>
    </row>
    <row r="183" spans="2:6" x14ac:dyDescent="0.2">
      <c r="B183" s="37">
        <f t="shared" si="12"/>
        <v>172</v>
      </c>
      <c r="C183" s="42">
        <f t="shared" si="10"/>
        <v>-85299.983339691811</v>
      </c>
      <c r="D183" s="3">
        <f t="shared" si="13"/>
        <v>-214.25468805450001</v>
      </c>
      <c r="E183" s="42">
        <f t="shared" si="14"/>
        <v>-760</v>
      </c>
      <c r="F183" s="42">
        <f t="shared" si="11"/>
        <v>-86274.238027746309</v>
      </c>
    </row>
    <row r="184" spans="2:6" x14ac:dyDescent="0.2">
      <c r="B184" s="37">
        <f t="shared" si="12"/>
        <v>173</v>
      </c>
      <c r="C184" s="42">
        <f t="shared" si="10"/>
        <v>-86274.238027746309</v>
      </c>
      <c r="D184" s="3">
        <f t="shared" si="13"/>
        <v>-216.70180030590001</v>
      </c>
      <c r="E184" s="42">
        <f t="shared" si="14"/>
        <v>-760</v>
      </c>
      <c r="F184" s="42">
        <f t="shared" si="11"/>
        <v>-87250.939828052215</v>
      </c>
    </row>
    <row r="185" spans="2:6" x14ac:dyDescent="0.2">
      <c r="B185" s="37">
        <f t="shared" si="12"/>
        <v>174</v>
      </c>
      <c r="C185" s="42">
        <f t="shared" si="10"/>
        <v>-87250.939828052215</v>
      </c>
      <c r="D185" s="3">
        <f t="shared" si="13"/>
        <v>-219.1550591619</v>
      </c>
      <c r="E185" s="42">
        <f t="shared" si="14"/>
        <v>-760</v>
      </c>
      <c r="F185" s="42">
        <f t="shared" si="11"/>
        <v>-88230.094887214116</v>
      </c>
    </row>
    <row r="186" spans="2:6" x14ac:dyDescent="0.2">
      <c r="B186" s="37">
        <f t="shared" si="12"/>
        <v>175</v>
      </c>
      <c r="C186" s="42">
        <f t="shared" si="10"/>
        <v>-88230.094887214116</v>
      </c>
      <c r="D186" s="3">
        <f t="shared" si="13"/>
        <v>-221.61448006149999</v>
      </c>
      <c r="E186" s="42">
        <f t="shared" si="14"/>
        <v>-760</v>
      </c>
      <c r="F186" s="42">
        <f t="shared" si="11"/>
        <v>-89211.709367275616</v>
      </c>
    </row>
    <row r="187" spans="2:6" x14ac:dyDescent="0.2">
      <c r="B187" s="37">
        <f t="shared" si="12"/>
        <v>176</v>
      </c>
      <c r="C187" s="42">
        <f t="shared" si="10"/>
        <v>-89211.709367275616</v>
      </c>
      <c r="D187" s="3">
        <f t="shared" si="13"/>
        <v>-224.08007848220001</v>
      </c>
      <c r="E187" s="42">
        <f t="shared" si="14"/>
        <v>-760</v>
      </c>
      <c r="F187" s="42">
        <f t="shared" si="11"/>
        <v>-90195.789445757822</v>
      </c>
    </row>
    <row r="188" spans="2:6" x14ac:dyDescent="0.2">
      <c r="B188" s="37">
        <f t="shared" si="12"/>
        <v>177</v>
      </c>
      <c r="C188" s="42">
        <f t="shared" si="10"/>
        <v>-90195.789445757822</v>
      </c>
      <c r="D188" s="3">
        <f t="shared" si="13"/>
        <v>-226.5518699408</v>
      </c>
      <c r="E188" s="42">
        <f t="shared" si="14"/>
        <v>-760</v>
      </c>
      <c r="F188" s="42">
        <f t="shared" si="11"/>
        <v>-91182.341315698621</v>
      </c>
    </row>
    <row r="189" spans="2:6" x14ac:dyDescent="0.2">
      <c r="B189" s="37">
        <f t="shared" si="12"/>
        <v>178</v>
      </c>
      <c r="C189" s="42">
        <f t="shared" si="10"/>
        <v>-91182.341315698621</v>
      </c>
      <c r="D189" s="3">
        <f t="shared" si="13"/>
        <v>-229.02986999269999</v>
      </c>
      <c r="E189" s="42">
        <f t="shared" si="14"/>
        <v>-760</v>
      </c>
      <c r="F189" s="42">
        <f t="shared" si="11"/>
        <v>-92171.371185691314</v>
      </c>
    </row>
    <row r="190" spans="2:6" x14ac:dyDescent="0.2">
      <c r="B190" s="37">
        <f t="shared" si="12"/>
        <v>179</v>
      </c>
      <c r="C190" s="42">
        <f t="shared" si="10"/>
        <v>-92171.371185691314</v>
      </c>
      <c r="D190" s="3">
        <f t="shared" si="13"/>
        <v>-231.5140942326</v>
      </c>
      <c r="E190" s="42">
        <f t="shared" si="14"/>
        <v>-760</v>
      </c>
      <c r="F190" s="42">
        <f t="shared" si="11"/>
        <v>-93162.88527992391</v>
      </c>
    </row>
    <row r="191" spans="2:6" x14ac:dyDescent="0.2">
      <c r="B191" s="37">
        <f t="shared" si="12"/>
        <v>180</v>
      </c>
      <c r="C191" s="42">
        <f t="shared" si="10"/>
        <v>-93162.88527992391</v>
      </c>
      <c r="D191" s="3">
        <f t="shared" si="13"/>
        <v>-234.0045582942</v>
      </c>
      <c r="E191" s="42">
        <f t="shared" si="14"/>
        <v>-760</v>
      </c>
      <c r="F191" s="42">
        <f t="shared" si="11"/>
        <v>-94156.889838218107</v>
      </c>
    </row>
    <row r="192" spans="2:6" x14ac:dyDescent="0.2">
      <c r="B192" s="37">
        <f t="shared" si="12"/>
        <v>181</v>
      </c>
      <c r="C192" s="42">
        <f t="shared" si="10"/>
        <v>-94156.889838218107</v>
      </c>
      <c r="D192" s="3">
        <f t="shared" si="13"/>
        <v>-236.5012778505</v>
      </c>
      <c r="E192" s="42">
        <f t="shared" si="14"/>
        <v>-760</v>
      </c>
      <c r="F192" s="42">
        <f t="shared" si="11"/>
        <v>-95153.391116068611</v>
      </c>
    </row>
    <row r="193" spans="2:6" x14ac:dyDescent="0.2">
      <c r="B193" s="37">
        <f t="shared" si="12"/>
        <v>182</v>
      </c>
      <c r="C193" s="42">
        <f t="shared" si="10"/>
        <v>-95153.391116068611</v>
      </c>
      <c r="D193" s="3">
        <f t="shared" si="13"/>
        <v>-239.0042686141</v>
      </c>
      <c r="E193" s="42">
        <f t="shared" si="14"/>
        <v>-760</v>
      </c>
      <c r="F193" s="42">
        <f t="shared" si="11"/>
        <v>-96152.395384682706</v>
      </c>
    </row>
    <row r="194" spans="2:6" x14ac:dyDescent="0.2">
      <c r="B194" s="37">
        <f t="shared" si="12"/>
        <v>183</v>
      </c>
      <c r="C194" s="42">
        <f t="shared" si="10"/>
        <v>-96152.395384682706</v>
      </c>
      <c r="D194" s="3">
        <f t="shared" si="13"/>
        <v>-241.5135463368</v>
      </c>
      <c r="E194" s="42">
        <f t="shared" si="14"/>
        <v>-760</v>
      </c>
      <c r="F194" s="42">
        <f t="shared" si="11"/>
        <v>-97153.908931019512</v>
      </c>
    </row>
    <row r="195" spans="2:6" x14ac:dyDescent="0.2">
      <c r="B195" s="37">
        <f t="shared" si="12"/>
        <v>184</v>
      </c>
      <c r="C195" s="42">
        <f t="shared" ref="C195:C258" si="15">F194</f>
        <v>-97153.908931019512</v>
      </c>
      <c r="D195" s="3">
        <f t="shared" si="13"/>
        <v>-244.02912681000001</v>
      </c>
      <c r="E195" s="42">
        <f t="shared" si="14"/>
        <v>-760</v>
      </c>
      <c r="F195" s="42">
        <f t="shared" ref="F195:F258" si="16">SUM(C195:E195)</f>
        <v>-98157.938057829509</v>
      </c>
    </row>
    <row r="196" spans="2:6" x14ac:dyDescent="0.2">
      <c r="B196" s="37">
        <f t="shared" si="12"/>
        <v>185</v>
      </c>
      <c r="C196" s="42">
        <f t="shared" si="15"/>
        <v>-98157.938057829509</v>
      </c>
      <c r="D196" s="3">
        <f t="shared" si="13"/>
        <v>-246.55102586480001</v>
      </c>
      <c r="E196" s="42">
        <f t="shared" si="14"/>
        <v>-760</v>
      </c>
      <c r="F196" s="42">
        <f t="shared" si="16"/>
        <v>-99164.489083694309</v>
      </c>
    </row>
    <row r="197" spans="2:6" x14ac:dyDescent="0.2">
      <c r="B197" s="37">
        <f t="shared" si="12"/>
        <v>186</v>
      </c>
      <c r="C197" s="42">
        <f t="shared" si="15"/>
        <v>-99164.489083694309</v>
      </c>
      <c r="D197" s="3">
        <f t="shared" si="13"/>
        <v>-249.0792593722</v>
      </c>
      <c r="E197" s="42">
        <f t="shared" si="14"/>
        <v>-760</v>
      </c>
      <c r="F197" s="42">
        <f t="shared" si="16"/>
        <v>-100173.56834306651</v>
      </c>
    </row>
    <row r="198" spans="2:6" x14ac:dyDescent="0.2">
      <c r="B198" s="37">
        <f t="shared" si="12"/>
        <v>187</v>
      </c>
      <c r="C198" s="42">
        <f t="shared" si="15"/>
        <v>-100173.56834306651</v>
      </c>
      <c r="D198" s="3">
        <f t="shared" si="13"/>
        <v>-251.61384324279999</v>
      </c>
      <c r="E198" s="42">
        <f t="shared" si="14"/>
        <v>-760</v>
      </c>
      <c r="F198" s="42">
        <f t="shared" si="16"/>
        <v>-101185.18218630931</v>
      </c>
    </row>
    <row r="199" spans="2:6" x14ac:dyDescent="0.2">
      <c r="B199" s="37">
        <f t="shared" si="12"/>
        <v>188</v>
      </c>
      <c r="C199" s="42">
        <f t="shared" si="15"/>
        <v>-101185.18218630931</v>
      </c>
      <c r="D199" s="3">
        <f t="shared" si="13"/>
        <v>-254.15479342739999</v>
      </c>
      <c r="E199" s="42">
        <f t="shared" si="14"/>
        <v>-760</v>
      </c>
      <c r="F199" s="42">
        <f t="shared" si="16"/>
        <v>-102199.3369797367</v>
      </c>
    </row>
    <row r="200" spans="2:6" x14ac:dyDescent="0.2">
      <c r="B200" s="37">
        <f t="shared" si="12"/>
        <v>189</v>
      </c>
      <c r="C200" s="42">
        <f t="shared" si="15"/>
        <v>-102199.3369797367</v>
      </c>
      <c r="D200" s="3">
        <f t="shared" si="13"/>
        <v>-256.70212591680001</v>
      </c>
      <c r="E200" s="42">
        <f t="shared" si="14"/>
        <v>-760</v>
      </c>
      <c r="F200" s="42">
        <f t="shared" si="16"/>
        <v>-103216.0391056535</v>
      </c>
    </row>
    <row r="201" spans="2:6" x14ac:dyDescent="0.2">
      <c r="B201" s="37">
        <f t="shared" si="12"/>
        <v>190</v>
      </c>
      <c r="C201" s="42">
        <f t="shared" si="15"/>
        <v>-103216.0391056535</v>
      </c>
      <c r="D201" s="3">
        <f t="shared" si="13"/>
        <v>-259.2558567419</v>
      </c>
      <c r="E201" s="42">
        <f t="shared" si="14"/>
        <v>-760</v>
      </c>
      <c r="F201" s="42">
        <f t="shared" si="16"/>
        <v>-104235.2949623954</v>
      </c>
    </row>
    <row r="202" spans="2:6" x14ac:dyDescent="0.2">
      <c r="B202" s="37">
        <f t="shared" si="12"/>
        <v>191</v>
      </c>
      <c r="C202" s="42">
        <f t="shared" si="15"/>
        <v>-104235.2949623954</v>
      </c>
      <c r="D202" s="3">
        <f t="shared" si="13"/>
        <v>-261.81600197389997</v>
      </c>
      <c r="E202" s="42">
        <f t="shared" si="14"/>
        <v>-760</v>
      </c>
      <c r="F202" s="42">
        <f t="shared" si="16"/>
        <v>-105257.11096436931</v>
      </c>
    </row>
    <row r="203" spans="2:6" x14ac:dyDescent="0.2">
      <c r="B203" s="37">
        <f t="shared" si="12"/>
        <v>192</v>
      </c>
      <c r="C203" s="42">
        <f t="shared" si="15"/>
        <v>-105257.11096436931</v>
      </c>
      <c r="D203" s="3">
        <f t="shared" si="13"/>
        <v>-264.38257772430001</v>
      </c>
      <c r="E203" s="42">
        <f t="shared" si="14"/>
        <v>-760</v>
      </c>
      <c r="F203" s="42">
        <f t="shared" si="16"/>
        <v>-106281.49354209361</v>
      </c>
    </row>
    <row r="204" spans="2:6" x14ac:dyDescent="0.2">
      <c r="B204" s="37">
        <f t="shared" si="12"/>
        <v>193</v>
      </c>
      <c r="C204" s="42">
        <f t="shared" si="15"/>
        <v>-106281.49354209361</v>
      </c>
      <c r="D204" s="3">
        <f t="shared" si="13"/>
        <v>-266.95560014519998</v>
      </c>
      <c r="E204" s="42">
        <f t="shared" si="14"/>
        <v>-760</v>
      </c>
      <c r="F204" s="42">
        <f t="shared" si="16"/>
        <v>-107308.44914223881</v>
      </c>
    </row>
    <row r="205" spans="2:6" x14ac:dyDescent="0.2">
      <c r="B205" s="37">
        <f t="shared" ref="B205:B268" si="17">+B204+1</f>
        <v>194</v>
      </c>
      <c r="C205" s="42">
        <f t="shared" si="15"/>
        <v>-107308.44914223881</v>
      </c>
      <c r="D205" s="3">
        <f t="shared" ref="D205:D268" si="18">ROUND(C205*$E$4,10)</f>
        <v>-269.53508542930001</v>
      </c>
      <c r="E205" s="42">
        <f t="shared" ref="E205:E268" si="19">-ROUND($C$8,10)</f>
        <v>-760</v>
      </c>
      <c r="F205" s="42">
        <f t="shared" si="16"/>
        <v>-108337.98422766812</v>
      </c>
    </row>
    <row r="206" spans="2:6" x14ac:dyDescent="0.2">
      <c r="B206" s="37">
        <f t="shared" si="17"/>
        <v>195</v>
      </c>
      <c r="C206" s="42">
        <f t="shared" si="15"/>
        <v>-108337.98422766812</v>
      </c>
      <c r="D206" s="3">
        <f t="shared" si="18"/>
        <v>-272.12104980970003</v>
      </c>
      <c r="E206" s="42">
        <f t="shared" si="19"/>
        <v>-760</v>
      </c>
      <c r="F206" s="42">
        <f t="shared" si="16"/>
        <v>-109370.10527747782</v>
      </c>
    </row>
    <row r="207" spans="2:6" x14ac:dyDescent="0.2">
      <c r="B207" s="37">
        <f t="shared" si="17"/>
        <v>196</v>
      </c>
      <c r="C207" s="42">
        <f t="shared" si="15"/>
        <v>-109370.10527747782</v>
      </c>
      <c r="D207" s="3">
        <f t="shared" si="18"/>
        <v>-274.71350956060002</v>
      </c>
      <c r="E207" s="42">
        <f t="shared" si="19"/>
        <v>-760</v>
      </c>
      <c r="F207" s="42">
        <f t="shared" si="16"/>
        <v>-110404.81878703843</v>
      </c>
    </row>
    <row r="208" spans="2:6" x14ac:dyDescent="0.2">
      <c r="B208" s="37">
        <f t="shared" si="17"/>
        <v>197</v>
      </c>
      <c r="C208" s="42">
        <f t="shared" si="15"/>
        <v>-110404.81878703843</v>
      </c>
      <c r="D208" s="3">
        <f t="shared" si="18"/>
        <v>-277.31248099689998</v>
      </c>
      <c r="E208" s="42">
        <f t="shared" si="19"/>
        <v>-760</v>
      </c>
      <c r="F208" s="42">
        <f t="shared" si="16"/>
        <v>-111442.13126803533</v>
      </c>
    </row>
    <row r="209" spans="2:6" x14ac:dyDescent="0.2">
      <c r="B209" s="37">
        <f t="shared" si="17"/>
        <v>198</v>
      </c>
      <c r="C209" s="42">
        <f t="shared" si="15"/>
        <v>-111442.13126803533</v>
      </c>
      <c r="D209" s="3">
        <f t="shared" si="18"/>
        <v>-279.91798047449998</v>
      </c>
      <c r="E209" s="42">
        <f t="shared" si="19"/>
        <v>-760</v>
      </c>
      <c r="F209" s="42">
        <f t="shared" si="16"/>
        <v>-112482.04924850984</v>
      </c>
    </row>
    <row r="210" spans="2:6" x14ac:dyDescent="0.2">
      <c r="B210" s="37">
        <f t="shared" si="17"/>
        <v>199</v>
      </c>
      <c r="C210" s="42">
        <f t="shared" si="15"/>
        <v>-112482.04924850984</v>
      </c>
      <c r="D210" s="3">
        <f t="shared" si="18"/>
        <v>-282.5300243904</v>
      </c>
      <c r="E210" s="42">
        <f t="shared" si="19"/>
        <v>-760</v>
      </c>
      <c r="F210" s="42">
        <f t="shared" si="16"/>
        <v>-113524.57927290024</v>
      </c>
    </row>
    <row r="211" spans="2:6" x14ac:dyDescent="0.2">
      <c r="B211" s="37">
        <f t="shared" si="17"/>
        <v>200</v>
      </c>
      <c r="C211" s="42">
        <f t="shared" si="15"/>
        <v>-113524.57927290024</v>
      </c>
      <c r="D211" s="3">
        <f t="shared" si="18"/>
        <v>-285.14862918279999</v>
      </c>
      <c r="E211" s="42">
        <f t="shared" si="19"/>
        <v>-760</v>
      </c>
      <c r="F211" s="42">
        <f t="shared" si="16"/>
        <v>-114569.72790208305</v>
      </c>
    </row>
    <row r="212" spans="2:6" x14ac:dyDescent="0.2">
      <c r="B212" s="37">
        <f t="shared" si="17"/>
        <v>201</v>
      </c>
      <c r="C212" s="42">
        <f t="shared" si="15"/>
        <v>-114569.72790208305</v>
      </c>
      <c r="D212" s="3">
        <f t="shared" si="18"/>
        <v>-287.77381133120002</v>
      </c>
      <c r="E212" s="42">
        <f t="shared" si="19"/>
        <v>-760</v>
      </c>
      <c r="F212" s="42">
        <f t="shared" si="16"/>
        <v>-115617.50171341424</v>
      </c>
    </row>
    <row r="213" spans="2:6" x14ac:dyDescent="0.2">
      <c r="B213" s="37">
        <f t="shared" si="17"/>
        <v>202</v>
      </c>
      <c r="C213" s="42">
        <f t="shared" si="15"/>
        <v>-115617.50171341424</v>
      </c>
      <c r="D213" s="3">
        <f t="shared" si="18"/>
        <v>-290.40558735629997</v>
      </c>
      <c r="E213" s="42">
        <f t="shared" si="19"/>
        <v>-760</v>
      </c>
      <c r="F213" s="42">
        <f t="shared" si="16"/>
        <v>-116667.90730077054</v>
      </c>
    </row>
    <row r="214" spans="2:6" x14ac:dyDescent="0.2">
      <c r="B214" s="37">
        <f t="shared" si="17"/>
        <v>203</v>
      </c>
      <c r="C214" s="42">
        <f t="shared" si="15"/>
        <v>-116667.90730077054</v>
      </c>
      <c r="D214" s="3">
        <f t="shared" si="18"/>
        <v>-293.0439738206</v>
      </c>
      <c r="E214" s="42">
        <f t="shared" si="19"/>
        <v>-760</v>
      </c>
      <c r="F214" s="42">
        <f t="shared" si="16"/>
        <v>-117720.95127459115</v>
      </c>
    </row>
    <row r="215" spans="2:6" x14ac:dyDescent="0.2">
      <c r="B215" s="37">
        <f t="shared" si="17"/>
        <v>204</v>
      </c>
      <c r="C215" s="42">
        <f t="shared" si="15"/>
        <v>-117720.95127459115</v>
      </c>
      <c r="D215" s="3">
        <f t="shared" si="18"/>
        <v>-295.68898732809998</v>
      </c>
      <c r="E215" s="42">
        <f t="shared" si="19"/>
        <v>-760</v>
      </c>
      <c r="F215" s="42">
        <f t="shared" si="16"/>
        <v>-118776.64026191925</v>
      </c>
    </row>
    <row r="216" spans="2:6" x14ac:dyDescent="0.2">
      <c r="B216" s="37">
        <f t="shared" si="17"/>
        <v>205</v>
      </c>
      <c r="C216" s="42">
        <f t="shared" si="15"/>
        <v>-118776.64026191925</v>
      </c>
      <c r="D216" s="3">
        <f t="shared" si="18"/>
        <v>-298.34064452429999</v>
      </c>
      <c r="E216" s="42">
        <f t="shared" si="19"/>
        <v>-760</v>
      </c>
      <c r="F216" s="42">
        <f t="shared" si="16"/>
        <v>-119834.98090644355</v>
      </c>
    </row>
    <row r="217" spans="2:6" x14ac:dyDescent="0.2">
      <c r="B217" s="37">
        <f t="shared" si="17"/>
        <v>206</v>
      </c>
      <c r="C217" s="42">
        <f t="shared" si="15"/>
        <v>-119834.98090644355</v>
      </c>
      <c r="D217" s="3">
        <f t="shared" si="18"/>
        <v>-300.99896209680003</v>
      </c>
      <c r="E217" s="42">
        <f t="shared" si="19"/>
        <v>-760</v>
      </c>
      <c r="F217" s="42">
        <f t="shared" si="16"/>
        <v>-120895.97986854035</v>
      </c>
    </row>
    <row r="218" spans="2:6" x14ac:dyDescent="0.2">
      <c r="B218" s="37">
        <f t="shared" si="17"/>
        <v>207</v>
      </c>
      <c r="C218" s="42">
        <f t="shared" si="15"/>
        <v>-120895.97986854035</v>
      </c>
      <c r="D218" s="3">
        <f t="shared" si="18"/>
        <v>-303.66395677499997</v>
      </c>
      <c r="E218" s="42">
        <f t="shared" si="19"/>
        <v>-760</v>
      </c>
      <c r="F218" s="42">
        <f t="shared" si="16"/>
        <v>-121959.64382531535</v>
      </c>
    </row>
    <row r="219" spans="2:6" x14ac:dyDescent="0.2">
      <c r="B219" s="37">
        <f t="shared" si="17"/>
        <v>208</v>
      </c>
      <c r="C219" s="42">
        <f t="shared" si="15"/>
        <v>-121959.64382531535</v>
      </c>
      <c r="D219" s="3">
        <f t="shared" si="18"/>
        <v>-306.3356453303</v>
      </c>
      <c r="E219" s="42">
        <f t="shared" si="19"/>
        <v>-760</v>
      </c>
      <c r="F219" s="42">
        <f t="shared" si="16"/>
        <v>-123025.97947064565</v>
      </c>
    </row>
    <row r="220" spans="2:6" x14ac:dyDescent="0.2">
      <c r="B220" s="37">
        <f t="shared" si="17"/>
        <v>209</v>
      </c>
      <c r="C220" s="42">
        <f t="shared" si="15"/>
        <v>-123025.97947064565</v>
      </c>
      <c r="D220" s="3">
        <f t="shared" si="18"/>
        <v>-309.01404457619998</v>
      </c>
      <c r="E220" s="42">
        <f t="shared" si="19"/>
        <v>-760</v>
      </c>
      <c r="F220" s="42">
        <f t="shared" si="16"/>
        <v>-124094.99351522184</v>
      </c>
    </row>
    <row r="221" spans="2:6" x14ac:dyDescent="0.2">
      <c r="B221" s="37">
        <f t="shared" si="17"/>
        <v>210</v>
      </c>
      <c r="C221" s="42">
        <f t="shared" si="15"/>
        <v>-124094.99351522184</v>
      </c>
      <c r="D221" s="3">
        <f t="shared" si="18"/>
        <v>-311.6991713685</v>
      </c>
      <c r="E221" s="42">
        <f t="shared" si="19"/>
        <v>-760</v>
      </c>
      <c r="F221" s="42">
        <f t="shared" si="16"/>
        <v>-125166.69268659034</v>
      </c>
    </row>
    <row r="222" spans="2:6" x14ac:dyDescent="0.2">
      <c r="B222" s="37">
        <f t="shared" si="17"/>
        <v>211</v>
      </c>
      <c r="C222" s="42">
        <f t="shared" si="15"/>
        <v>-125166.69268659034</v>
      </c>
      <c r="D222" s="3">
        <f t="shared" si="18"/>
        <v>-314.39104260520003</v>
      </c>
      <c r="E222" s="42">
        <f t="shared" si="19"/>
        <v>-760</v>
      </c>
      <c r="F222" s="42">
        <f t="shared" si="16"/>
        <v>-126241.08372919554</v>
      </c>
    </row>
    <row r="223" spans="2:6" x14ac:dyDescent="0.2">
      <c r="B223" s="37">
        <f t="shared" si="17"/>
        <v>212</v>
      </c>
      <c r="C223" s="42">
        <f t="shared" si="15"/>
        <v>-126241.08372919554</v>
      </c>
      <c r="D223" s="3">
        <f t="shared" si="18"/>
        <v>-317.08967522709997</v>
      </c>
      <c r="E223" s="42">
        <f t="shared" si="19"/>
        <v>-760</v>
      </c>
      <c r="F223" s="42">
        <f t="shared" si="16"/>
        <v>-127318.17340442263</v>
      </c>
    </row>
    <row r="224" spans="2:6" x14ac:dyDescent="0.2">
      <c r="B224" s="37">
        <f t="shared" si="17"/>
        <v>213</v>
      </c>
      <c r="C224" s="42">
        <f t="shared" si="15"/>
        <v>-127318.17340442263</v>
      </c>
      <c r="D224" s="3">
        <f t="shared" si="18"/>
        <v>-319.79508621709999</v>
      </c>
      <c r="E224" s="42">
        <f t="shared" si="19"/>
        <v>-760</v>
      </c>
      <c r="F224" s="42">
        <f t="shared" si="16"/>
        <v>-128397.96849063973</v>
      </c>
    </row>
    <row r="225" spans="2:6" x14ac:dyDescent="0.2">
      <c r="B225" s="37">
        <f t="shared" si="17"/>
        <v>214</v>
      </c>
      <c r="C225" s="42">
        <f t="shared" si="15"/>
        <v>-128397.96849063973</v>
      </c>
      <c r="D225" s="3">
        <f t="shared" si="18"/>
        <v>-322.50729260100002</v>
      </c>
      <c r="E225" s="42">
        <f t="shared" si="19"/>
        <v>-760</v>
      </c>
      <c r="F225" s="42">
        <f t="shared" si="16"/>
        <v>-129480.47578324073</v>
      </c>
    </row>
    <row r="226" spans="2:6" x14ac:dyDescent="0.2">
      <c r="B226" s="37">
        <f t="shared" si="17"/>
        <v>215</v>
      </c>
      <c r="C226" s="42">
        <f t="shared" si="15"/>
        <v>-129480.47578324073</v>
      </c>
      <c r="D226" s="3">
        <f t="shared" si="18"/>
        <v>-325.22631144730002</v>
      </c>
      <c r="E226" s="42">
        <f t="shared" si="19"/>
        <v>-760</v>
      </c>
      <c r="F226" s="42">
        <f t="shared" si="16"/>
        <v>-130565.70209468804</v>
      </c>
    </row>
    <row r="227" spans="2:6" x14ac:dyDescent="0.2">
      <c r="B227" s="37">
        <f t="shared" si="17"/>
        <v>216</v>
      </c>
      <c r="C227" s="42">
        <f t="shared" si="15"/>
        <v>-130565.70209468804</v>
      </c>
      <c r="D227" s="3">
        <f t="shared" si="18"/>
        <v>-327.95215986749997</v>
      </c>
      <c r="E227" s="42">
        <f t="shared" si="19"/>
        <v>-760</v>
      </c>
      <c r="F227" s="42">
        <f t="shared" si="16"/>
        <v>-131653.65425455553</v>
      </c>
    </row>
    <row r="228" spans="2:6" x14ac:dyDescent="0.2">
      <c r="B228" s="37">
        <f t="shared" si="17"/>
        <v>217</v>
      </c>
      <c r="C228" s="42">
        <f t="shared" si="15"/>
        <v>-131653.65425455553</v>
      </c>
      <c r="D228" s="3">
        <f t="shared" si="18"/>
        <v>-330.68485501589998</v>
      </c>
      <c r="E228" s="42">
        <f t="shared" si="19"/>
        <v>-760</v>
      </c>
      <c r="F228" s="42">
        <f t="shared" si="16"/>
        <v>-132744.33910957142</v>
      </c>
    </row>
    <row r="229" spans="2:6" x14ac:dyDescent="0.2">
      <c r="B229" s="37">
        <f t="shared" si="17"/>
        <v>218</v>
      </c>
      <c r="C229" s="42">
        <f t="shared" si="15"/>
        <v>-132744.33910957142</v>
      </c>
      <c r="D229" s="3">
        <f t="shared" si="18"/>
        <v>-333.42441408989998</v>
      </c>
      <c r="E229" s="42">
        <f t="shared" si="19"/>
        <v>-760</v>
      </c>
      <c r="F229" s="42">
        <f t="shared" si="16"/>
        <v>-133837.76352366133</v>
      </c>
    </row>
    <row r="230" spans="2:6" x14ac:dyDescent="0.2">
      <c r="B230" s="37">
        <f t="shared" si="17"/>
        <v>219</v>
      </c>
      <c r="C230" s="42">
        <f t="shared" si="15"/>
        <v>-133837.76352366133</v>
      </c>
      <c r="D230" s="3">
        <f t="shared" si="18"/>
        <v>-336.1708543304</v>
      </c>
      <c r="E230" s="42">
        <f t="shared" si="19"/>
        <v>-760</v>
      </c>
      <c r="F230" s="42">
        <f t="shared" si="16"/>
        <v>-134933.93437799174</v>
      </c>
    </row>
    <row r="231" spans="2:6" x14ac:dyDescent="0.2">
      <c r="B231" s="37">
        <f t="shared" si="17"/>
        <v>220</v>
      </c>
      <c r="C231" s="42">
        <f t="shared" si="15"/>
        <v>-134933.93437799174</v>
      </c>
      <c r="D231" s="3">
        <f t="shared" si="18"/>
        <v>-338.9241930211</v>
      </c>
      <c r="E231" s="42">
        <f t="shared" si="19"/>
        <v>-760</v>
      </c>
      <c r="F231" s="42">
        <f t="shared" si="16"/>
        <v>-136032.85857101285</v>
      </c>
    </row>
    <row r="232" spans="2:6" x14ac:dyDescent="0.2">
      <c r="B232" s="37">
        <f t="shared" si="17"/>
        <v>221</v>
      </c>
      <c r="C232" s="42">
        <f t="shared" si="15"/>
        <v>-136032.85857101285</v>
      </c>
      <c r="D232" s="3">
        <f t="shared" si="18"/>
        <v>-341.68444748960002</v>
      </c>
      <c r="E232" s="42">
        <f t="shared" si="19"/>
        <v>-760</v>
      </c>
      <c r="F232" s="42">
        <f t="shared" si="16"/>
        <v>-137134.54301850245</v>
      </c>
    </row>
    <row r="233" spans="2:6" x14ac:dyDescent="0.2">
      <c r="B233" s="37">
        <f t="shared" si="17"/>
        <v>222</v>
      </c>
      <c r="C233" s="42">
        <f t="shared" si="15"/>
        <v>-137134.54301850245</v>
      </c>
      <c r="D233" s="3">
        <f t="shared" si="18"/>
        <v>-344.45163510660001</v>
      </c>
      <c r="E233" s="42">
        <f t="shared" si="19"/>
        <v>-760</v>
      </c>
      <c r="F233" s="42">
        <f t="shared" si="16"/>
        <v>-138238.99465360906</v>
      </c>
    </row>
    <row r="234" spans="2:6" x14ac:dyDescent="0.2">
      <c r="B234" s="37">
        <f t="shared" si="17"/>
        <v>223</v>
      </c>
      <c r="C234" s="42">
        <f t="shared" si="15"/>
        <v>-138238.99465360906</v>
      </c>
      <c r="D234" s="3">
        <f t="shared" si="18"/>
        <v>-347.22577328680001</v>
      </c>
      <c r="E234" s="42">
        <f t="shared" si="19"/>
        <v>-760</v>
      </c>
      <c r="F234" s="42">
        <f t="shared" si="16"/>
        <v>-139346.22042689586</v>
      </c>
    </row>
    <row r="235" spans="2:6" x14ac:dyDescent="0.2">
      <c r="B235" s="37">
        <f t="shared" si="17"/>
        <v>224</v>
      </c>
      <c r="C235" s="42">
        <f t="shared" si="15"/>
        <v>-139346.22042689586</v>
      </c>
      <c r="D235" s="3">
        <f t="shared" si="18"/>
        <v>-350.00687948839999</v>
      </c>
      <c r="E235" s="42">
        <f t="shared" si="19"/>
        <v>-760</v>
      </c>
      <c r="F235" s="42">
        <f t="shared" si="16"/>
        <v>-140456.22730638427</v>
      </c>
    </row>
    <row r="236" spans="2:6" x14ac:dyDescent="0.2">
      <c r="B236" s="37">
        <f t="shared" si="17"/>
        <v>225</v>
      </c>
      <c r="C236" s="42">
        <f t="shared" si="15"/>
        <v>-140456.22730638427</v>
      </c>
      <c r="D236" s="3">
        <f t="shared" si="18"/>
        <v>-352.79497121349999</v>
      </c>
      <c r="E236" s="42">
        <f t="shared" si="19"/>
        <v>-760</v>
      </c>
      <c r="F236" s="42">
        <f t="shared" si="16"/>
        <v>-141569.02227759777</v>
      </c>
    </row>
    <row r="237" spans="2:6" x14ac:dyDescent="0.2">
      <c r="B237" s="37">
        <f t="shared" si="17"/>
        <v>226</v>
      </c>
      <c r="C237" s="42">
        <f t="shared" si="15"/>
        <v>-141569.02227759777</v>
      </c>
      <c r="D237" s="3">
        <f t="shared" si="18"/>
        <v>-355.59006600830003</v>
      </c>
      <c r="E237" s="42">
        <f t="shared" si="19"/>
        <v>-760</v>
      </c>
      <c r="F237" s="42">
        <f t="shared" si="16"/>
        <v>-142684.61234360607</v>
      </c>
    </row>
    <row r="238" spans="2:6" x14ac:dyDescent="0.2">
      <c r="B238" s="37">
        <f t="shared" si="17"/>
        <v>227</v>
      </c>
      <c r="C238" s="42">
        <f t="shared" si="15"/>
        <v>-142684.61234360607</v>
      </c>
      <c r="D238" s="3">
        <f t="shared" si="18"/>
        <v>-358.39218146280001</v>
      </c>
      <c r="E238" s="42">
        <f t="shared" si="19"/>
        <v>-760</v>
      </c>
      <c r="F238" s="42">
        <f t="shared" si="16"/>
        <v>-143803.00452506889</v>
      </c>
    </row>
    <row r="239" spans="2:6" x14ac:dyDescent="0.2">
      <c r="B239" s="37">
        <f t="shared" si="17"/>
        <v>228</v>
      </c>
      <c r="C239" s="42">
        <f t="shared" si="15"/>
        <v>-143803.00452506889</v>
      </c>
      <c r="D239" s="3">
        <f t="shared" si="18"/>
        <v>-361.20133521150001</v>
      </c>
      <c r="E239" s="42">
        <f t="shared" si="19"/>
        <v>-760</v>
      </c>
      <c r="F239" s="42">
        <f t="shared" si="16"/>
        <v>-144924.20586028037</v>
      </c>
    </row>
    <row r="240" spans="2:6" x14ac:dyDescent="0.2">
      <c r="B240" s="37">
        <f t="shared" si="17"/>
        <v>229</v>
      </c>
      <c r="C240" s="42">
        <f t="shared" si="15"/>
        <v>-144924.20586028037</v>
      </c>
      <c r="D240" s="3">
        <f t="shared" si="18"/>
        <v>-364.01754493300001</v>
      </c>
      <c r="E240" s="42">
        <f t="shared" si="19"/>
        <v>-760</v>
      </c>
      <c r="F240" s="42">
        <f t="shared" si="16"/>
        <v>-146048.22340521339</v>
      </c>
    </row>
    <row r="241" spans="2:6" x14ac:dyDescent="0.2">
      <c r="B241" s="37">
        <f t="shared" si="17"/>
        <v>230</v>
      </c>
      <c r="C241" s="42">
        <f t="shared" si="15"/>
        <v>-146048.22340521339</v>
      </c>
      <c r="D241" s="3">
        <f t="shared" si="18"/>
        <v>-366.84082835020001</v>
      </c>
      <c r="E241" s="42">
        <f t="shared" si="19"/>
        <v>-760</v>
      </c>
      <c r="F241" s="42">
        <f t="shared" si="16"/>
        <v>-147175.06423356358</v>
      </c>
    </row>
    <row r="242" spans="2:6" x14ac:dyDescent="0.2">
      <c r="B242" s="37">
        <f t="shared" si="17"/>
        <v>231</v>
      </c>
      <c r="C242" s="42">
        <f t="shared" si="15"/>
        <v>-147175.06423356358</v>
      </c>
      <c r="D242" s="3">
        <f t="shared" si="18"/>
        <v>-369.67120323090001</v>
      </c>
      <c r="E242" s="42">
        <f t="shared" si="19"/>
        <v>-760</v>
      </c>
      <c r="F242" s="42">
        <f t="shared" si="16"/>
        <v>-148304.73543679446</v>
      </c>
    </row>
    <row r="243" spans="2:6" x14ac:dyDescent="0.2">
      <c r="B243" s="37">
        <f t="shared" si="17"/>
        <v>232</v>
      </c>
      <c r="C243" s="42">
        <f t="shared" si="15"/>
        <v>-148304.73543679446</v>
      </c>
      <c r="D243" s="3">
        <f t="shared" si="18"/>
        <v>-372.5086873871</v>
      </c>
      <c r="E243" s="42">
        <f t="shared" si="19"/>
        <v>-760</v>
      </c>
      <c r="F243" s="42">
        <f t="shared" si="16"/>
        <v>-149437.24412418157</v>
      </c>
    </row>
    <row r="244" spans="2:6" x14ac:dyDescent="0.2">
      <c r="B244" s="37">
        <f t="shared" si="17"/>
        <v>233</v>
      </c>
      <c r="C244" s="42">
        <f t="shared" si="15"/>
        <v>-149437.24412418157</v>
      </c>
      <c r="D244" s="3">
        <f t="shared" si="18"/>
        <v>-375.35329867579998</v>
      </c>
      <c r="E244" s="42">
        <f t="shared" si="19"/>
        <v>-760</v>
      </c>
      <c r="F244" s="42">
        <f t="shared" si="16"/>
        <v>-150572.59742285736</v>
      </c>
    </row>
    <row r="245" spans="2:6" x14ac:dyDescent="0.2">
      <c r="B245" s="37">
        <f t="shared" si="17"/>
        <v>234</v>
      </c>
      <c r="C245" s="42">
        <f t="shared" si="15"/>
        <v>-150572.59742285736</v>
      </c>
      <c r="D245" s="3">
        <f t="shared" si="18"/>
        <v>-378.20505499879999</v>
      </c>
      <c r="E245" s="42">
        <f t="shared" si="19"/>
        <v>-760</v>
      </c>
      <c r="F245" s="42">
        <f t="shared" si="16"/>
        <v>-151710.80247785617</v>
      </c>
    </row>
    <row r="246" spans="2:6" x14ac:dyDescent="0.2">
      <c r="B246" s="37">
        <f t="shared" si="17"/>
        <v>235</v>
      </c>
      <c r="C246" s="42">
        <f t="shared" si="15"/>
        <v>-151710.80247785617</v>
      </c>
      <c r="D246" s="3">
        <f t="shared" si="18"/>
        <v>-381.06397430279998</v>
      </c>
      <c r="E246" s="42">
        <f t="shared" si="19"/>
        <v>-760</v>
      </c>
      <c r="F246" s="42">
        <f t="shared" si="16"/>
        <v>-152851.86645215895</v>
      </c>
    </row>
    <row r="247" spans="2:6" x14ac:dyDescent="0.2">
      <c r="B247" s="37">
        <f t="shared" si="17"/>
        <v>236</v>
      </c>
      <c r="C247" s="42">
        <f t="shared" si="15"/>
        <v>-152851.86645215895</v>
      </c>
      <c r="D247" s="3">
        <f t="shared" si="18"/>
        <v>-383.93007457969998</v>
      </c>
      <c r="E247" s="42">
        <f t="shared" si="19"/>
        <v>-760</v>
      </c>
      <c r="F247" s="42">
        <f t="shared" si="16"/>
        <v>-153995.79652673865</v>
      </c>
    </row>
    <row r="248" spans="2:6" x14ac:dyDescent="0.2">
      <c r="B248" s="37">
        <f t="shared" si="17"/>
        <v>237</v>
      </c>
      <c r="C248" s="42">
        <f t="shared" si="15"/>
        <v>-153995.79652673865</v>
      </c>
      <c r="D248" s="3">
        <f t="shared" si="18"/>
        <v>-386.80337386640002</v>
      </c>
      <c r="E248" s="42">
        <f t="shared" si="19"/>
        <v>-760</v>
      </c>
      <c r="F248" s="42">
        <f t="shared" si="16"/>
        <v>-155142.59990060504</v>
      </c>
    </row>
    <row r="249" spans="2:6" x14ac:dyDescent="0.2">
      <c r="B249" s="37">
        <f t="shared" si="17"/>
        <v>238</v>
      </c>
      <c r="C249" s="42">
        <f t="shared" si="15"/>
        <v>-155142.59990060504</v>
      </c>
      <c r="D249" s="3">
        <f t="shared" si="18"/>
        <v>-389.68389024520002</v>
      </c>
      <c r="E249" s="42">
        <f t="shared" si="19"/>
        <v>-760</v>
      </c>
      <c r="F249" s="42">
        <f t="shared" si="16"/>
        <v>-156292.28379085026</v>
      </c>
    </row>
    <row r="250" spans="2:6" x14ac:dyDescent="0.2">
      <c r="B250" s="37">
        <f t="shared" si="17"/>
        <v>239</v>
      </c>
      <c r="C250" s="42">
        <f t="shared" si="15"/>
        <v>-156292.28379085026</v>
      </c>
      <c r="D250" s="3">
        <f t="shared" si="18"/>
        <v>-392.571641844</v>
      </c>
      <c r="E250" s="42">
        <f t="shared" si="19"/>
        <v>-760</v>
      </c>
      <c r="F250" s="42">
        <f t="shared" si="16"/>
        <v>-157444.85543269425</v>
      </c>
    </row>
    <row r="251" spans="2:6" x14ac:dyDescent="0.2">
      <c r="B251" s="37">
        <f t="shared" si="17"/>
        <v>240</v>
      </c>
      <c r="C251" s="42">
        <f t="shared" si="15"/>
        <v>-157444.85543269425</v>
      </c>
      <c r="D251" s="3">
        <f t="shared" si="18"/>
        <v>-395.466646836</v>
      </c>
      <c r="E251" s="42">
        <f t="shared" si="19"/>
        <v>-760</v>
      </c>
      <c r="F251" s="42">
        <f t="shared" si="16"/>
        <v>-158600.32207953025</v>
      </c>
    </row>
    <row r="252" spans="2:6" x14ac:dyDescent="0.2">
      <c r="B252" s="37">
        <f t="shared" si="17"/>
        <v>241</v>
      </c>
      <c r="C252" s="42">
        <f t="shared" si="15"/>
        <v>-158600.32207953025</v>
      </c>
      <c r="D252" s="3">
        <f t="shared" si="18"/>
        <v>-398.36892344009999</v>
      </c>
      <c r="E252" s="42">
        <f t="shared" si="19"/>
        <v>-760</v>
      </c>
      <c r="F252" s="42">
        <f t="shared" si="16"/>
        <v>-159758.69100297036</v>
      </c>
    </row>
    <row r="253" spans="2:6" x14ac:dyDescent="0.2">
      <c r="B253" s="37">
        <f t="shared" si="17"/>
        <v>242</v>
      </c>
      <c r="C253" s="42">
        <f t="shared" si="15"/>
        <v>-159758.69100297036</v>
      </c>
      <c r="D253" s="3">
        <f t="shared" si="18"/>
        <v>-401.27848992089997</v>
      </c>
      <c r="E253" s="42">
        <f t="shared" si="19"/>
        <v>-760</v>
      </c>
      <c r="F253" s="42">
        <f t="shared" si="16"/>
        <v>-160919.96949289125</v>
      </c>
    </row>
    <row r="254" spans="2:6" x14ac:dyDescent="0.2">
      <c r="B254" s="37">
        <f t="shared" si="17"/>
        <v>243</v>
      </c>
      <c r="C254" s="42">
        <f t="shared" si="15"/>
        <v>-160919.96949289125</v>
      </c>
      <c r="D254" s="3">
        <f t="shared" si="18"/>
        <v>-404.1953645891</v>
      </c>
      <c r="E254" s="42">
        <f t="shared" si="19"/>
        <v>-760</v>
      </c>
      <c r="F254" s="42">
        <f t="shared" si="16"/>
        <v>-162084.16485748035</v>
      </c>
    </row>
    <row r="255" spans="2:6" x14ac:dyDescent="0.2">
      <c r="B255" s="37">
        <f t="shared" si="17"/>
        <v>244</v>
      </c>
      <c r="C255" s="42">
        <f t="shared" si="15"/>
        <v>-162084.16485748035</v>
      </c>
      <c r="D255" s="3">
        <f t="shared" si="18"/>
        <v>-407.11956580129998</v>
      </c>
      <c r="E255" s="42">
        <f t="shared" si="19"/>
        <v>-760</v>
      </c>
      <c r="F255" s="42">
        <f t="shared" si="16"/>
        <v>-163251.28442328164</v>
      </c>
    </row>
    <row r="256" spans="2:6" x14ac:dyDescent="0.2">
      <c r="B256" s="37">
        <f t="shared" si="17"/>
        <v>245</v>
      </c>
      <c r="C256" s="42">
        <f t="shared" si="15"/>
        <v>-163251.28442328164</v>
      </c>
      <c r="D256" s="3">
        <f t="shared" si="18"/>
        <v>-410.05111195990003</v>
      </c>
      <c r="E256" s="42">
        <f t="shared" si="19"/>
        <v>-760</v>
      </c>
      <c r="F256" s="42">
        <f t="shared" si="16"/>
        <v>-164421.33553524155</v>
      </c>
    </row>
    <row r="257" spans="2:6" x14ac:dyDescent="0.2">
      <c r="B257" s="37">
        <f t="shared" si="17"/>
        <v>246</v>
      </c>
      <c r="C257" s="42">
        <f t="shared" si="15"/>
        <v>-164421.33553524155</v>
      </c>
      <c r="D257" s="3">
        <f t="shared" si="18"/>
        <v>-412.99002151399998</v>
      </c>
      <c r="E257" s="42">
        <f t="shared" si="19"/>
        <v>-760</v>
      </c>
      <c r="F257" s="42">
        <f t="shared" si="16"/>
        <v>-165594.32555675556</v>
      </c>
    </row>
    <row r="258" spans="2:6" x14ac:dyDescent="0.2">
      <c r="B258" s="37">
        <f t="shared" si="17"/>
        <v>247</v>
      </c>
      <c r="C258" s="42">
        <f t="shared" si="15"/>
        <v>-165594.32555675556</v>
      </c>
      <c r="D258" s="3">
        <f t="shared" si="18"/>
        <v>-415.9363129587</v>
      </c>
      <c r="E258" s="42">
        <f t="shared" si="19"/>
        <v>-760</v>
      </c>
      <c r="F258" s="42">
        <f t="shared" si="16"/>
        <v>-166770.26186971425</v>
      </c>
    </row>
    <row r="259" spans="2:6" x14ac:dyDescent="0.2">
      <c r="B259" s="37">
        <f t="shared" si="17"/>
        <v>248</v>
      </c>
      <c r="C259" s="42">
        <f t="shared" ref="C259:C322" si="20">F258</f>
        <v>-166770.26186971425</v>
      </c>
      <c r="D259" s="3">
        <f t="shared" si="18"/>
        <v>-418.89000483580003</v>
      </c>
      <c r="E259" s="42">
        <f t="shared" si="19"/>
        <v>-760</v>
      </c>
      <c r="F259" s="42">
        <f t="shared" ref="F259:F322" si="21">SUM(C259:E259)</f>
        <v>-167949.15187455004</v>
      </c>
    </row>
    <row r="260" spans="2:6" x14ac:dyDescent="0.2">
      <c r="B260" s="37">
        <f t="shared" si="17"/>
        <v>249</v>
      </c>
      <c r="C260" s="42">
        <f t="shared" si="20"/>
        <v>-167949.15187455004</v>
      </c>
      <c r="D260" s="3">
        <f t="shared" si="18"/>
        <v>-421.85111573350002</v>
      </c>
      <c r="E260" s="42">
        <f t="shared" si="19"/>
        <v>-760</v>
      </c>
      <c r="F260" s="42">
        <f t="shared" si="21"/>
        <v>-169131.00299028354</v>
      </c>
    </row>
    <row r="261" spans="2:6" x14ac:dyDescent="0.2">
      <c r="B261" s="37">
        <f t="shared" si="17"/>
        <v>250</v>
      </c>
      <c r="C261" s="42">
        <f t="shared" si="20"/>
        <v>-169131.00299028354</v>
      </c>
      <c r="D261" s="3">
        <f t="shared" si="18"/>
        <v>-424.81966428660002</v>
      </c>
      <c r="E261" s="42">
        <f t="shared" si="19"/>
        <v>-760</v>
      </c>
      <c r="F261" s="42">
        <f t="shared" si="21"/>
        <v>-170315.82265457013</v>
      </c>
    </row>
    <row r="262" spans="2:6" x14ac:dyDescent="0.2">
      <c r="B262" s="37">
        <f t="shared" si="17"/>
        <v>251</v>
      </c>
      <c r="C262" s="42">
        <f t="shared" si="20"/>
        <v>-170315.82265457013</v>
      </c>
      <c r="D262" s="3">
        <f t="shared" si="18"/>
        <v>-427.79566917710002</v>
      </c>
      <c r="E262" s="42">
        <f t="shared" si="19"/>
        <v>-760</v>
      </c>
      <c r="F262" s="42">
        <f t="shared" si="21"/>
        <v>-171503.61832374724</v>
      </c>
    </row>
    <row r="263" spans="2:6" x14ac:dyDescent="0.2">
      <c r="B263" s="37">
        <f t="shared" si="17"/>
        <v>252</v>
      </c>
      <c r="C263" s="42">
        <f t="shared" si="20"/>
        <v>-171503.61832374724</v>
      </c>
      <c r="D263" s="3">
        <f t="shared" si="18"/>
        <v>-430.77914913339998</v>
      </c>
      <c r="E263" s="42">
        <f t="shared" si="19"/>
        <v>-760</v>
      </c>
      <c r="F263" s="42">
        <f t="shared" si="21"/>
        <v>-172694.39747288064</v>
      </c>
    </row>
    <row r="264" spans="2:6" x14ac:dyDescent="0.2">
      <c r="B264" s="37">
        <f t="shared" si="17"/>
        <v>253</v>
      </c>
      <c r="C264" s="42">
        <f t="shared" si="20"/>
        <v>-172694.39747288064</v>
      </c>
      <c r="D264" s="3">
        <f t="shared" si="18"/>
        <v>-433.77012293140001</v>
      </c>
      <c r="E264" s="42">
        <f t="shared" si="19"/>
        <v>-760</v>
      </c>
      <c r="F264" s="42">
        <f t="shared" si="21"/>
        <v>-173888.16759581203</v>
      </c>
    </row>
    <row r="265" spans="2:6" x14ac:dyDescent="0.2">
      <c r="B265" s="37">
        <f t="shared" si="17"/>
        <v>254</v>
      </c>
      <c r="C265" s="42">
        <f t="shared" si="20"/>
        <v>-173888.16759581203</v>
      </c>
      <c r="D265" s="3">
        <f t="shared" si="18"/>
        <v>-436.76860939400001</v>
      </c>
      <c r="E265" s="42">
        <f t="shared" si="19"/>
        <v>-760</v>
      </c>
      <c r="F265" s="42">
        <f t="shared" si="21"/>
        <v>-175084.93620520603</v>
      </c>
    </row>
    <row r="266" spans="2:6" x14ac:dyDescent="0.2">
      <c r="B266" s="37">
        <f t="shared" si="17"/>
        <v>255</v>
      </c>
      <c r="C266" s="42">
        <f t="shared" si="20"/>
        <v>-175084.93620520603</v>
      </c>
      <c r="D266" s="3">
        <f t="shared" si="18"/>
        <v>-439.77462739110001</v>
      </c>
      <c r="E266" s="42">
        <f t="shared" si="19"/>
        <v>-760</v>
      </c>
      <c r="F266" s="42">
        <f t="shared" si="21"/>
        <v>-176284.71083259713</v>
      </c>
    </row>
    <row r="267" spans="2:6" x14ac:dyDescent="0.2">
      <c r="B267" s="37">
        <f t="shared" si="17"/>
        <v>256</v>
      </c>
      <c r="C267" s="42">
        <f t="shared" si="20"/>
        <v>-176284.71083259713</v>
      </c>
      <c r="D267" s="3">
        <f t="shared" si="18"/>
        <v>-442.7881958406</v>
      </c>
      <c r="E267" s="42">
        <f t="shared" si="19"/>
        <v>-760</v>
      </c>
      <c r="F267" s="42">
        <f t="shared" si="21"/>
        <v>-177487.49902843774</v>
      </c>
    </row>
    <row r="268" spans="2:6" x14ac:dyDescent="0.2">
      <c r="B268" s="37">
        <f t="shared" si="17"/>
        <v>257</v>
      </c>
      <c r="C268" s="42">
        <f t="shared" si="20"/>
        <v>-177487.49902843774</v>
      </c>
      <c r="D268" s="3">
        <f t="shared" si="18"/>
        <v>-445.80933370719998</v>
      </c>
      <c r="E268" s="42">
        <f t="shared" si="19"/>
        <v>-760</v>
      </c>
      <c r="F268" s="42">
        <f t="shared" si="21"/>
        <v>-178693.30836214495</v>
      </c>
    </row>
    <row r="269" spans="2:6" x14ac:dyDescent="0.2">
      <c r="B269" s="37">
        <f t="shared" ref="B269:B332" si="22">+B268+1</f>
        <v>258</v>
      </c>
      <c r="C269" s="42">
        <f t="shared" si="20"/>
        <v>-178693.30836214495</v>
      </c>
      <c r="D269" s="3">
        <f t="shared" ref="D269:D332" si="23">ROUND(C269*$E$4,10)</f>
        <v>-448.83806000390001</v>
      </c>
      <c r="E269" s="42">
        <f t="shared" ref="E269:E332" si="24">-ROUND($C$8,10)</f>
        <v>-760</v>
      </c>
      <c r="F269" s="42">
        <f t="shared" si="21"/>
        <v>-179902.14642214886</v>
      </c>
    </row>
    <row r="270" spans="2:6" x14ac:dyDescent="0.2">
      <c r="B270" s="37">
        <f t="shared" si="22"/>
        <v>259</v>
      </c>
      <c r="C270" s="42">
        <f t="shared" si="20"/>
        <v>-179902.14642214886</v>
      </c>
      <c r="D270" s="3">
        <f t="shared" si="23"/>
        <v>-451.87439379099999</v>
      </c>
      <c r="E270" s="42">
        <f t="shared" si="24"/>
        <v>-760</v>
      </c>
      <c r="F270" s="42">
        <f t="shared" si="21"/>
        <v>-181114.02081593985</v>
      </c>
    </row>
    <row r="271" spans="2:6" x14ac:dyDescent="0.2">
      <c r="B271" s="37">
        <f t="shared" si="22"/>
        <v>260</v>
      </c>
      <c r="C271" s="42">
        <f t="shared" si="20"/>
        <v>-181114.02081593985</v>
      </c>
      <c r="D271" s="3">
        <f t="shared" si="23"/>
        <v>-454.91835417689998</v>
      </c>
      <c r="E271" s="42">
        <f t="shared" si="24"/>
        <v>-760</v>
      </c>
      <c r="F271" s="42">
        <f t="shared" si="21"/>
        <v>-182328.93917011673</v>
      </c>
    </row>
    <row r="272" spans="2:6" x14ac:dyDescent="0.2">
      <c r="B272" s="37">
        <f t="shared" si="22"/>
        <v>261</v>
      </c>
      <c r="C272" s="42">
        <f t="shared" si="20"/>
        <v>-182328.93917011673</v>
      </c>
      <c r="D272" s="3">
        <f t="shared" si="23"/>
        <v>-457.96996031790002</v>
      </c>
      <c r="E272" s="42">
        <f t="shared" si="24"/>
        <v>-760</v>
      </c>
      <c r="F272" s="42">
        <f t="shared" si="21"/>
        <v>-183546.90913043462</v>
      </c>
    </row>
    <row r="273" spans="2:6" x14ac:dyDescent="0.2">
      <c r="B273" s="37">
        <f t="shared" si="22"/>
        <v>262</v>
      </c>
      <c r="C273" s="42">
        <f t="shared" si="20"/>
        <v>-183546.90913043462</v>
      </c>
      <c r="D273" s="3">
        <f t="shared" si="23"/>
        <v>-461.0292314184</v>
      </c>
      <c r="E273" s="42">
        <f t="shared" si="24"/>
        <v>-760</v>
      </c>
      <c r="F273" s="42">
        <f t="shared" si="21"/>
        <v>-184767.93836185301</v>
      </c>
    </row>
    <row r="274" spans="2:6" x14ac:dyDescent="0.2">
      <c r="B274" s="37">
        <f t="shared" si="22"/>
        <v>263</v>
      </c>
      <c r="C274" s="42">
        <f t="shared" si="20"/>
        <v>-184767.93836185301</v>
      </c>
      <c r="D274" s="3">
        <f t="shared" si="23"/>
        <v>-464.09618673120002</v>
      </c>
      <c r="E274" s="42">
        <f t="shared" si="24"/>
        <v>-760</v>
      </c>
      <c r="F274" s="42">
        <f t="shared" si="21"/>
        <v>-185992.03454858423</v>
      </c>
    </row>
    <row r="275" spans="2:6" x14ac:dyDescent="0.2">
      <c r="B275" s="37">
        <f t="shared" si="22"/>
        <v>264</v>
      </c>
      <c r="C275" s="42">
        <f t="shared" si="20"/>
        <v>-185992.03454858423</v>
      </c>
      <c r="D275" s="3">
        <f t="shared" si="23"/>
        <v>-467.17084555730003</v>
      </c>
      <c r="E275" s="42">
        <f t="shared" si="24"/>
        <v>-760</v>
      </c>
      <c r="F275" s="42">
        <f t="shared" si="21"/>
        <v>-187219.20539414152</v>
      </c>
    </row>
    <row r="276" spans="2:6" x14ac:dyDescent="0.2">
      <c r="B276" s="37">
        <f t="shared" si="22"/>
        <v>265</v>
      </c>
      <c r="C276" s="42">
        <f t="shared" si="20"/>
        <v>-187219.20539414152</v>
      </c>
      <c r="D276" s="3">
        <f t="shared" si="23"/>
        <v>-470.25322724609998</v>
      </c>
      <c r="E276" s="42">
        <f t="shared" si="24"/>
        <v>-760</v>
      </c>
      <c r="F276" s="42">
        <f t="shared" si="21"/>
        <v>-188449.45862138763</v>
      </c>
    </row>
    <row r="277" spans="2:6" x14ac:dyDescent="0.2">
      <c r="B277" s="37">
        <f t="shared" si="22"/>
        <v>266</v>
      </c>
      <c r="C277" s="42">
        <f t="shared" si="20"/>
        <v>-188449.45862138763</v>
      </c>
      <c r="D277" s="3">
        <f t="shared" si="23"/>
        <v>-473.34335119590003</v>
      </c>
      <c r="E277" s="42">
        <f t="shared" si="24"/>
        <v>-760</v>
      </c>
      <c r="F277" s="42">
        <f t="shared" si="21"/>
        <v>-189682.80197258352</v>
      </c>
    </row>
    <row r="278" spans="2:6" x14ac:dyDescent="0.2">
      <c r="B278" s="37">
        <f t="shared" si="22"/>
        <v>267</v>
      </c>
      <c r="C278" s="42">
        <f t="shared" si="20"/>
        <v>-189682.80197258352</v>
      </c>
      <c r="D278" s="3">
        <f t="shared" si="23"/>
        <v>-476.44123685340003</v>
      </c>
      <c r="E278" s="42">
        <f t="shared" si="24"/>
        <v>-760</v>
      </c>
      <c r="F278" s="42">
        <f t="shared" si="21"/>
        <v>-190919.24320943691</v>
      </c>
    </row>
    <row r="279" spans="2:6" x14ac:dyDescent="0.2">
      <c r="B279" s="37">
        <f t="shared" si="22"/>
        <v>268</v>
      </c>
      <c r="C279" s="42">
        <f t="shared" si="20"/>
        <v>-190919.24320943691</v>
      </c>
      <c r="D279" s="3">
        <f t="shared" si="23"/>
        <v>-479.54690371430002</v>
      </c>
      <c r="E279" s="42">
        <f t="shared" si="24"/>
        <v>-760</v>
      </c>
      <c r="F279" s="42">
        <f t="shared" si="21"/>
        <v>-192158.79011315122</v>
      </c>
    </row>
    <row r="280" spans="2:6" x14ac:dyDescent="0.2">
      <c r="B280" s="37">
        <f t="shared" si="22"/>
        <v>269</v>
      </c>
      <c r="C280" s="42">
        <f t="shared" si="20"/>
        <v>-192158.79011315122</v>
      </c>
      <c r="D280" s="3">
        <f t="shared" si="23"/>
        <v>-482.6603713234</v>
      </c>
      <c r="E280" s="42">
        <f t="shared" si="24"/>
        <v>-760</v>
      </c>
      <c r="F280" s="42">
        <f t="shared" si="21"/>
        <v>-193401.45048447463</v>
      </c>
    </row>
    <row r="281" spans="2:6" x14ac:dyDescent="0.2">
      <c r="B281" s="37">
        <f t="shared" si="22"/>
        <v>270</v>
      </c>
      <c r="C281" s="42">
        <f t="shared" si="20"/>
        <v>-193401.45048447463</v>
      </c>
      <c r="D281" s="3">
        <f t="shared" si="23"/>
        <v>-485.7816592744</v>
      </c>
      <c r="E281" s="42">
        <f t="shared" si="24"/>
        <v>-760</v>
      </c>
      <c r="F281" s="42">
        <f t="shared" si="21"/>
        <v>-194647.23214374902</v>
      </c>
    </row>
    <row r="282" spans="2:6" x14ac:dyDescent="0.2">
      <c r="B282" s="37">
        <f t="shared" si="22"/>
        <v>271</v>
      </c>
      <c r="C282" s="42">
        <f t="shared" si="20"/>
        <v>-194647.23214374902</v>
      </c>
      <c r="D282" s="3">
        <f t="shared" si="23"/>
        <v>-488.9107872102</v>
      </c>
      <c r="E282" s="42">
        <f t="shared" si="24"/>
        <v>-760</v>
      </c>
      <c r="F282" s="42">
        <f t="shared" si="21"/>
        <v>-195896.14293095921</v>
      </c>
    </row>
    <row r="283" spans="2:6" x14ac:dyDescent="0.2">
      <c r="B283" s="37">
        <f t="shared" si="22"/>
        <v>272</v>
      </c>
      <c r="C283" s="42">
        <f t="shared" si="20"/>
        <v>-195896.14293095921</v>
      </c>
      <c r="D283" s="3">
        <f t="shared" si="23"/>
        <v>-492.04777482319997</v>
      </c>
      <c r="E283" s="42">
        <f t="shared" si="24"/>
        <v>-760</v>
      </c>
      <c r="F283" s="42">
        <f t="shared" si="21"/>
        <v>-197148.19070578241</v>
      </c>
    </row>
    <row r="284" spans="2:6" x14ac:dyDescent="0.2">
      <c r="B284" s="37">
        <f t="shared" si="22"/>
        <v>273</v>
      </c>
      <c r="C284" s="42">
        <f t="shared" si="20"/>
        <v>-197148.19070578241</v>
      </c>
      <c r="D284" s="3">
        <f t="shared" si="23"/>
        <v>-495.19264185499998</v>
      </c>
      <c r="E284" s="42">
        <f t="shared" si="24"/>
        <v>-760</v>
      </c>
      <c r="F284" s="42">
        <f t="shared" si="21"/>
        <v>-198403.38334763743</v>
      </c>
    </row>
    <row r="285" spans="2:6" x14ac:dyDescent="0.2">
      <c r="B285" s="37">
        <f t="shared" si="22"/>
        <v>274</v>
      </c>
      <c r="C285" s="42">
        <f t="shared" si="20"/>
        <v>-198403.38334763743</v>
      </c>
      <c r="D285" s="3">
        <f t="shared" si="23"/>
        <v>-498.34540809719999</v>
      </c>
      <c r="E285" s="42">
        <f t="shared" si="24"/>
        <v>-760</v>
      </c>
      <c r="F285" s="42">
        <f t="shared" si="21"/>
        <v>-199661.72875573463</v>
      </c>
    </row>
    <row r="286" spans="2:6" x14ac:dyDescent="0.2">
      <c r="B286" s="37">
        <f t="shared" si="22"/>
        <v>275</v>
      </c>
      <c r="C286" s="42">
        <f t="shared" si="20"/>
        <v>-199661.72875573463</v>
      </c>
      <c r="D286" s="3">
        <f t="shared" si="23"/>
        <v>-501.50609339070002</v>
      </c>
      <c r="E286" s="42">
        <f t="shared" si="24"/>
        <v>-760</v>
      </c>
      <c r="F286" s="42">
        <f t="shared" si="21"/>
        <v>-200923.23484912532</v>
      </c>
    </row>
    <row r="287" spans="2:6" x14ac:dyDescent="0.2">
      <c r="B287" s="37">
        <f t="shared" si="22"/>
        <v>276</v>
      </c>
      <c r="C287" s="42">
        <f t="shared" si="20"/>
        <v>-200923.23484912532</v>
      </c>
      <c r="D287" s="3">
        <f t="shared" si="23"/>
        <v>-504.67471762640002</v>
      </c>
      <c r="E287" s="42">
        <f t="shared" si="24"/>
        <v>-760</v>
      </c>
      <c r="F287" s="42">
        <f t="shared" si="21"/>
        <v>-202187.90956675171</v>
      </c>
    </row>
    <row r="288" spans="2:6" x14ac:dyDescent="0.2">
      <c r="B288" s="37">
        <f t="shared" si="22"/>
        <v>277</v>
      </c>
      <c r="C288" s="42">
        <f t="shared" si="20"/>
        <v>-202187.90956675171</v>
      </c>
      <c r="D288" s="3">
        <f t="shared" si="23"/>
        <v>-507.85130074530002</v>
      </c>
      <c r="E288" s="42">
        <f t="shared" si="24"/>
        <v>-760</v>
      </c>
      <c r="F288" s="42">
        <f t="shared" si="21"/>
        <v>-203455.76086749701</v>
      </c>
    </row>
    <row r="289" spans="2:6" x14ac:dyDescent="0.2">
      <c r="B289" s="37">
        <f t="shared" si="22"/>
        <v>278</v>
      </c>
      <c r="C289" s="42">
        <f t="shared" si="20"/>
        <v>-203455.76086749701</v>
      </c>
      <c r="D289" s="3">
        <f t="shared" si="23"/>
        <v>-511.03586273820002</v>
      </c>
      <c r="E289" s="42">
        <f t="shared" si="24"/>
        <v>-760</v>
      </c>
      <c r="F289" s="42">
        <f t="shared" si="21"/>
        <v>-204726.79673023522</v>
      </c>
    </row>
    <row r="290" spans="2:6" x14ac:dyDescent="0.2">
      <c r="B290" s="37">
        <f t="shared" si="22"/>
        <v>279</v>
      </c>
      <c r="C290" s="42">
        <f t="shared" si="20"/>
        <v>-204726.79673023522</v>
      </c>
      <c r="D290" s="3">
        <f t="shared" si="23"/>
        <v>-514.22842364630003</v>
      </c>
      <c r="E290" s="42">
        <f t="shared" si="24"/>
        <v>-760</v>
      </c>
      <c r="F290" s="42">
        <f t="shared" si="21"/>
        <v>-206001.02515388152</v>
      </c>
    </row>
    <row r="291" spans="2:6" x14ac:dyDescent="0.2">
      <c r="B291" s="37">
        <f t="shared" si="22"/>
        <v>280</v>
      </c>
      <c r="C291" s="42">
        <f t="shared" si="20"/>
        <v>-206001.02515388152</v>
      </c>
      <c r="D291" s="3">
        <f t="shared" si="23"/>
        <v>-517.42900356120003</v>
      </c>
      <c r="E291" s="42">
        <f t="shared" si="24"/>
        <v>-760</v>
      </c>
      <c r="F291" s="42">
        <f t="shared" si="21"/>
        <v>-207278.45415744273</v>
      </c>
    </row>
    <row r="292" spans="2:6" x14ac:dyDescent="0.2">
      <c r="B292" s="37">
        <f t="shared" si="22"/>
        <v>281</v>
      </c>
      <c r="C292" s="42">
        <f t="shared" si="20"/>
        <v>-207278.45415744273</v>
      </c>
      <c r="D292" s="3">
        <f t="shared" si="23"/>
        <v>-520.63762262490002</v>
      </c>
      <c r="E292" s="42">
        <f t="shared" si="24"/>
        <v>-760</v>
      </c>
      <c r="F292" s="42">
        <f t="shared" si="21"/>
        <v>-208559.09178006763</v>
      </c>
    </row>
    <row r="293" spans="2:6" x14ac:dyDescent="0.2">
      <c r="B293" s="37">
        <f t="shared" si="22"/>
        <v>282</v>
      </c>
      <c r="C293" s="42">
        <f t="shared" si="20"/>
        <v>-208559.09178006763</v>
      </c>
      <c r="D293" s="3">
        <f t="shared" si="23"/>
        <v>-523.85430102969997</v>
      </c>
      <c r="E293" s="42">
        <f t="shared" si="24"/>
        <v>-760</v>
      </c>
      <c r="F293" s="42">
        <f t="shared" si="21"/>
        <v>-209842.94608109733</v>
      </c>
    </row>
    <row r="294" spans="2:6" x14ac:dyDescent="0.2">
      <c r="B294" s="37">
        <f t="shared" si="22"/>
        <v>283</v>
      </c>
      <c r="C294" s="42">
        <f t="shared" si="20"/>
        <v>-209842.94608109733</v>
      </c>
      <c r="D294" s="3">
        <f t="shared" si="23"/>
        <v>-527.07905901920003</v>
      </c>
      <c r="E294" s="42">
        <f t="shared" si="24"/>
        <v>-760</v>
      </c>
      <c r="F294" s="42">
        <f t="shared" si="21"/>
        <v>-211130.02514011652</v>
      </c>
    </row>
    <row r="295" spans="2:6" x14ac:dyDescent="0.2">
      <c r="B295" s="37">
        <f t="shared" si="22"/>
        <v>284</v>
      </c>
      <c r="C295" s="42">
        <f t="shared" si="20"/>
        <v>-211130.02514011652</v>
      </c>
      <c r="D295" s="3">
        <f t="shared" si="23"/>
        <v>-530.31191688729996</v>
      </c>
      <c r="E295" s="42">
        <f t="shared" si="24"/>
        <v>-760</v>
      </c>
      <c r="F295" s="42">
        <f t="shared" si="21"/>
        <v>-212420.33705700381</v>
      </c>
    </row>
    <row r="296" spans="2:6" x14ac:dyDescent="0.2">
      <c r="B296" s="37">
        <f t="shared" si="22"/>
        <v>285</v>
      </c>
      <c r="C296" s="42">
        <f t="shared" si="20"/>
        <v>-212420.33705700381</v>
      </c>
      <c r="D296" s="3">
        <f t="shared" si="23"/>
        <v>-533.55289497930005</v>
      </c>
      <c r="E296" s="42">
        <f t="shared" si="24"/>
        <v>-760</v>
      </c>
      <c r="F296" s="42">
        <f t="shared" si="21"/>
        <v>-213713.88995198312</v>
      </c>
    </row>
    <row r="297" spans="2:6" x14ac:dyDescent="0.2">
      <c r="B297" s="37">
        <f t="shared" si="22"/>
        <v>286</v>
      </c>
      <c r="C297" s="42">
        <f t="shared" si="20"/>
        <v>-213713.88995198312</v>
      </c>
      <c r="D297" s="3">
        <f t="shared" si="23"/>
        <v>-536.80201369120005</v>
      </c>
      <c r="E297" s="42">
        <f t="shared" si="24"/>
        <v>-760</v>
      </c>
      <c r="F297" s="42">
        <f t="shared" si="21"/>
        <v>-215010.69196567431</v>
      </c>
    </row>
    <row r="298" spans="2:6" x14ac:dyDescent="0.2">
      <c r="B298" s="37">
        <f t="shared" si="22"/>
        <v>287</v>
      </c>
      <c r="C298" s="42">
        <f t="shared" si="20"/>
        <v>-215010.69196567431</v>
      </c>
      <c r="D298" s="3">
        <f t="shared" si="23"/>
        <v>-540.05929347050005</v>
      </c>
      <c r="E298" s="42">
        <f t="shared" si="24"/>
        <v>-760</v>
      </c>
      <c r="F298" s="42">
        <f t="shared" si="21"/>
        <v>-216310.7512591448</v>
      </c>
    </row>
    <row r="299" spans="2:6" x14ac:dyDescent="0.2">
      <c r="B299" s="37">
        <f t="shared" si="22"/>
        <v>288</v>
      </c>
      <c r="C299" s="42">
        <f t="shared" si="20"/>
        <v>-216310.7512591448</v>
      </c>
      <c r="D299" s="3">
        <f t="shared" si="23"/>
        <v>-543.32475481610004</v>
      </c>
      <c r="E299" s="42">
        <f t="shared" si="24"/>
        <v>-760</v>
      </c>
      <c r="F299" s="42">
        <f t="shared" si="21"/>
        <v>-217614.0760139609</v>
      </c>
    </row>
    <row r="300" spans="2:6" x14ac:dyDescent="0.2">
      <c r="B300" s="37">
        <f t="shared" si="22"/>
        <v>289</v>
      </c>
      <c r="C300" s="42">
        <f t="shared" si="20"/>
        <v>-217614.0760139609</v>
      </c>
      <c r="D300" s="3">
        <f t="shared" si="23"/>
        <v>-546.59841827820003</v>
      </c>
      <c r="E300" s="42">
        <f t="shared" si="24"/>
        <v>-760</v>
      </c>
      <c r="F300" s="42">
        <f t="shared" si="21"/>
        <v>-218920.67443223912</v>
      </c>
    </row>
    <row r="301" spans="2:6" x14ac:dyDescent="0.2">
      <c r="B301" s="37">
        <f t="shared" si="22"/>
        <v>290</v>
      </c>
      <c r="C301" s="42">
        <f t="shared" si="20"/>
        <v>-218920.67443223912</v>
      </c>
      <c r="D301" s="3">
        <f t="shared" si="23"/>
        <v>-549.88030445870004</v>
      </c>
      <c r="E301" s="42">
        <f t="shared" si="24"/>
        <v>-760</v>
      </c>
      <c r="F301" s="42">
        <f t="shared" si="21"/>
        <v>-220230.55473669781</v>
      </c>
    </row>
    <row r="302" spans="2:6" x14ac:dyDescent="0.2">
      <c r="B302" s="37">
        <f t="shared" si="22"/>
        <v>291</v>
      </c>
      <c r="C302" s="42">
        <f t="shared" si="20"/>
        <v>-220230.55473669781</v>
      </c>
      <c r="D302" s="3">
        <f t="shared" si="23"/>
        <v>-553.17043401130002</v>
      </c>
      <c r="E302" s="42">
        <f t="shared" si="24"/>
        <v>-760</v>
      </c>
      <c r="F302" s="42">
        <f t="shared" si="21"/>
        <v>-221543.72517070911</v>
      </c>
    </row>
    <row r="303" spans="2:6" x14ac:dyDescent="0.2">
      <c r="B303" s="37">
        <f t="shared" si="22"/>
        <v>292</v>
      </c>
      <c r="C303" s="42">
        <f t="shared" si="20"/>
        <v>-221543.72517070911</v>
      </c>
      <c r="D303" s="3">
        <f t="shared" si="23"/>
        <v>-556.46882764149996</v>
      </c>
      <c r="E303" s="42">
        <f t="shared" si="24"/>
        <v>-760</v>
      </c>
      <c r="F303" s="42">
        <f t="shared" si="21"/>
        <v>-222860.19399835062</v>
      </c>
    </row>
    <row r="304" spans="2:6" x14ac:dyDescent="0.2">
      <c r="B304" s="37">
        <f t="shared" si="22"/>
        <v>293</v>
      </c>
      <c r="C304" s="42">
        <f t="shared" si="20"/>
        <v>-222860.19399835062</v>
      </c>
      <c r="D304" s="3">
        <f t="shared" si="23"/>
        <v>-559.77550610679998</v>
      </c>
      <c r="E304" s="42">
        <f t="shared" si="24"/>
        <v>-760</v>
      </c>
      <c r="F304" s="42">
        <f t="shared" si="21"/>
        <v>-224179.9695044574</v>
      </c>
    </row>
    <row r="305" spans="2:6" x14ac:dyDescent="0.2">
      <c r="B305" s="37">
        <f t="shared" si="22"/>
        <v>294</v>
      </c>
      <c r="C305" s="42">
        <f t="shared" si="20"/>
        <v>-224179.9695044574</v>
      </c>
      <c r="D305" s="3">
        <f t="shared" si="23"/>
        <v>-563.09049021689998</v>
      </c>
      <c r="E305" s="42">
        <f t="shared" si="24"/>
        <v>-760</v>
      </c>
      <c r="F305" s="42">
        <f t="shared" si="21"/>
        <v>-225503.05999467432</v>
      </c>
    </row>
    <row r="306" spans="2:6" x14ac:dyDescent="0.2">
      <c r="B306" s="37">
        <f t="shared" si="22"/>
        <v>295</v>
      </c>
      <c r="C306" s="42">
        <f t="shared" si="20"/>
        <v>-225503.05999467432</v>
      </c>
      <c r="D306" s="3">
        <f t="shared" si="23"/>
        <v>-566.41380083369995</v>
      </c>
      <c r="E306" s="42">
        <f t="shared" si="24"/>
        <v>-760</v>
      </c>
      <c r="F306" s="42">
        <f t="shared" si="21"/>
        <v>-226829.47379550801</v>
      </c>
    </row>
    <row r="307" spans="2:6" x14ac:dyDescent="0.2">
      <c r="B307" s="37">
        <f t="shared" si="22"/>
        <v>296</v>
      </c>
      <c r="C307" s="42">
        <f t="shared" si="20"/>
        <v>-226829.47379550801</v>
      </c>
      <c r="D307" s="3">
        <f t="shared" si="23"/>
        <v>-569.74545887169995</v>
      </c>
      <c r="E307" s="42">
        <f t="shared" si="24"/>
        <v>-760</v>
      </c>
      <c r="F307" s="42">
        <f t="shared" si="21"/>
        <v>-228159.21925437971</v>
      </c>
    </row>
    <row r="308" spans="2:6" x14ac:dyDescent="0.2">
      <c r="B308" s="37">
        <f t="shared" si="22"/>
        <v>297</v>
      </c>
      <c r="C308" s="42">
        <f t="shared" si="20"/>
        <v>-228159.21925437971</v>
      </c>
      <c r="D308" s="3">
        <f t="shared" si="23"/>
        <v>-573.08548529749999</v>
      </c>
      <c r="E308" s="42">
        <f t="shared" si="24"/>
        <v>-760</v>
      </c>
      <c r="F308" s="42">
        <f t="shared" si="21"/>
        <v>-229492.3047396772</v>
      </c>
    </row>
    <row r="309" spans="2:6" x14ac:dyDescent="0.2">
      <c r="B309" s="37">
        <f t="shared" si="22"/>
        <v>298</v>
      </c>
      <c r="C309" s="42">
        <f t="shared" si="20"/>
        <v>-229492.3047396772</v>
      </c>
      <c r="D309" s="3">
        <f t="shared" si="23"/>
        <v>-576.43390113090004</v>
      </c>
      <c r="E309" s="42">
        <f t="shared" si="24"/>
        <v>-760</v>
      </c>
      <c r="F309" s="42">
        <f t="shared" si="21"/>
        <v>-230828.73864080809</v>
      </c>
    </row>
    <row r="310" spans="2:6" x14ac:dyDescent="0.2">
      <c r="B310" s="37">
        <f t="shared" si="22"/>
        <v>299</v>
      </c>
      <c r="C310" s="42">
        <f t="shared" si="20"/>
        <v>-230828.73864080809</v>
      </c>
      <c r="D310" s="3">
        <f t="shared" si="23"/>
        <v>-579.7907274442</v>
      </c>
      <c r="E310" s="42">
        <f t="shared" si="24"/>
        <v>-760</v>
      </c>
      <c r="F310" s="42">
        <f t="shared" si="21"/>
        <v>-232168.52936825229</v>
      </c>
    </row>
    <row r="311" spans="2:6" x14ac:dyDescent="0.2">
      <c r="B311" s="37">
        <f t="shared" si="22"/>
        <v>300</v>
      </c>
      <c r="C311" s="42">
        <f t="shared" si="20"/>
        <v>-232168.52936825229</v>
      </c>
      <c r="D311" s="3">
        <f t="shared" si="23"/>
        <v>-583.15598536250002</v>
      </c>
      <c r="E311" s="42">
        <f t="shared" si="24"/>
        <v>-760</v>
      </c>
      <c r="F311" s="42">
        <f t="shared" si="21"/>
        <v>-233511.6853536148</v>
      </c>
    </row>
    <row r="312" spans="2:6" x14ac:dyDescent="0.2">
      <c r="B312" s="37">
        <f t="shared" si="22"/>
        <v>301</v>
      </c>
      <c r="C312" s="42">
        <f t="shared" si="20"/>
        <v>-233511.6853536148</v>
      </c>
      <c r="D312" s="3">
        <f t="shared" si="23"/>
        <v>-586.52969606420004</v>
      </c>
      <c r="E312" s="42">
        <f t="shared" si="24"/>
        <v>-760</v>
      </c>
      <c r="F312" s="42">
        <f t="shared" si="21"/>
        <v>-234858.21504967898</v>
      </c>
    </row>
    <row r="313" spans="2:6" x14ac:dyDescent="0.2">
      <c r="B313" s="37">
        <f t="shared" si="22"/>
        <v>302</v>
      </c>
      <c r="C313" s="42">
        <f t="shared" si="20"/>
        <v>-234858.21504967898</v>
      </c>
      <c r="D313" s="3">
        <f t="shared" si="23"/>
        <v>-589.91188078089999</v>
      </c>
      <c r="E313" s="42">
        <f t="shared" si="24"/>
        <v>-760</v>
      </c>
      <c r="F313" s="42">
        <f t="shared" si="21"/>
        <v>-236208.1269304599</v>
      </c>
    </row>
    <row r="314" spans="2:6" x14ac:dyDescent="0.2">
      <c r="B314" s="37">
        <f t="shared" si="22"/>
        <v>303</v>
      </c>
      <c r="C314" s="42">
        <f t="shared" si="20"/>
        <v>-236208.1269304599</v>
      </c>
      <c r="D314" s="3">
        <f t="shared" si="23"/>
        <v>-593.30256079740002</v>
      </c>
      <c r="E314" s="42">
        <f t="shared" si="24"/>
        <v>-760</v>
      </c>
      <c r="F314" s="42">
        <f t="shared" si="21"/>
        <v>-237561.4294912573</v>
      </c>
    </row>
    <row r="315" spans="2:6" x14ac:dyDescent="0.2">
      <c r="B315" s="37">
        <f t="shared" si="22"/>
        <v>304</v>
      </c>
      <c r="C315" s="42">
        <f t="shared" si="20"/>
        <v>-237561.4294912573</v>
      </c>
      <c r="D315" s="3">
        <f t="shared" si="23"/>
        <v>-596.70175745200004</v>
      </c>
      <c r="E315" s="42">
        <f t="shared" si="24"/>
        <v>-760</v>
      </c>
      <c r="F315" s="42">
        <f t="shared" si="21"/>
        <v>-238918.13124870931</v>
      </c>
    </row>
    <row r="316" spans="2:6" x14ac:dyDescent="0.2">
      <c r="B316" s="37">
        <f t="shared" si="22"/>
        <v>305</v>
      </c>
      <c r="C316" s="42">
        <f t="shared" si="20"/>
        <v>-238918.13124870931</v>
      </c>
      <c r="D316" s="3">
        <f t="shared" si="23"/>
        <v>-600.10949213670006</v>
      </c>
      <c r="E316" s="42">
        <f t="shared" si="24"/>
        <v>-760</v>
      </c>
      <c r="F316" s="42">
        <f t="shared" si="21"/>
        <v>-240278.240740846</v>
      </c>
    </row>
    <row r="317" spans="2:6" x14ac:dyDescent="0.2">
      <c r="B317" s="37">
        <f t="shared" si="22"/>
        <v>306</v>
      </c>
      <c r="C317" s="42">
        <f t="shared" si="20"/>
        <v>-240278.240740846</v>
      </c>
      <c r="D317" s="3">
        <f t="shared" si="23"/>
        <v>-603.52578629699997</v>
      </c>
      <c r="E317" s="42">
        <f t="shared" si="24"/>
        <v>-760</v>
      </c>
      <c r="F317" s="42">
        <f t="shared" si="21"/>
        <v>-241641.76652714299</v>
      </c>
    </row>
    <row r="318" spans="2:6" x14ac:dyDescent="0.2">
      <c r="B318" s="37">
        <f t="shared" si="22"/>
        <v>307</v>
      </c>
      <c r="C318" s="42">
        <f t="shared" si="20"/>
        <v>-241641.76652714299</v>
      </c>
      <c r="D318" s="3">
        <f t="shared" si="23"/>
        <v>-606.95066143250006</v>
      </c>
      <c r="E318" s="42">
        <f t="shared" si="24"/>
        <v>-760</v>
      </c>
      <c r="F318" s="42">
        <f t="shared" si="21"/>
        <v>-243008.71718857548</v>
      </c>
    </row>
    <row r="319" spans="2:6" x14ac:dyDescent="0.2">
      <c r="B319" s="37">
        <f t="shared" si="22"/>
        <v>308</v>
      </c>
      <c r="C319" s="42">
        <f t="shared" si="20"/>
        <v>-243008.71718857548</v>
      </c>
      <c r="D319" s="3">
        <f t="shared" si="23"/>
        <v>-610.38413909660005</v>
      </c>
      <c r="E319" s="42">
        <f t="shared" si="24"/>
        <v>-760</v>
      </c>
      <c r="F319" s="42">
        <f t="shared" si="21"/>
        <v>-244379.10132767208</v>
      </c>
    </row>
    <row r="320" spans="2:6" x14ac:dyDescent="0.2">
      <c r="B320" s="37">
        <f t="shared" si="22"/>
        <v>309</v>
      </c>
      <c r="C320" s="42">
        <f t="shared" si="20"/>
        <v>-244379.10132767208</v>
      </c>
      <c r="D320" s="3">
        <f t="shared" si="23"/>
        <v>-613.82624089720002</v>
      </c>
      <c r="E320" s="42">
        <f t="shared" si="24"/>
        <v>-760</v>
      </c>
      <c r="F320" s="42">
        <f t="shared" si="21"/>
        <v>-245752.92756856928</v>
      </c>
    </row>
    <row r="321" spans="2:6" x14ac:dyDescent="0.2">
      <c r="B321" s="37">
        <f t="shared" si="22"/>
        <v>310</v>
      </c>
      <c r="C321" s="42">
        <f t="shared" si="20"/>
        <v>-245752.92756856928</v>
      </c>
      <c r="D321" s="3">
        <f t="shared" si="23"/>
        <v>-617.27698849590001</v>
      </c>
      <c r="E321" s="42">
        <f t="shared" si="24"/>
        <v>-760</v>
      </c>
      <c r="F321" s="42">
        <f t="shared" si="21"/>
        <v>-247130.20455706518</v>
      </c>
    </row>
    <row r="322" spans="2:6" x14ac:dyDescent="0.2">
      <c r="B322" s="37">
        <f t="shared" si="22"/>
        <v>311</v>
      </c>
      <c r="C322" s="42">
        <f t="shared" si="20"/>
        <v>-247130.20455706518</v>
      </c>
      <c r="D322" s="3">
        <f t="shared" si="23"/>
        <v>-620.73640360930005</v>
      </c>
      <c r="E322" s="42">
        <f t="shared" si="24"/>
        <v>-760</v>
      </c>
      <c r="F322" s="42">
        <f t="shared" si="21"/>
        <v>-248510.94096067449</v>
      </c>
    </row>
    <row r="323" spans="2:6" x14ac:dyDescent="0.2">
      <c r="B323" s="37">
        <f t="shared" si="22"/>
        <v>312</v>
      </c>
      <c r="C323" s="42">
        <f t="shared" ref="C323:C371" si="25">F322</f>
        <v>-248510.94096067449</v>
      </c>
      <c r="D323" s="3">
        <f t="shared" si="23"/>
        <v>-624.20450800809999</v>
      </c>
      <c r="E323" s="42">
        <f t="shared" si="24"/>
        <v>-760</v>
      </c>
      <c r="F323" s="42">
        <f t="shared" ref="F323:F371" si="26">SUM(C323:E323)</f>
        <v>-249895.14546868257</v>
      </c>
    </row>
    <row r="324" spans="2:6" x14ac:dyDescent="0.2">
      <c r="B324" s="37">
        <f t="shared" si="22"/>
        <v>313</v>
      </c>
      <c r="C324" s="42">
        <f t="shared" si="25"/>
        <v>-249895.14546868257</v>
      </c>
      <c r="D324" s="3">
        <f t="shared" si="23"/>
        <v>-627.681323518</v>
      </c>
      <c r="E324" s="42">
        <f t="shared" si="24"/>
        <v>-760</v>
      </c>
      <c r="F324" s="42">
        <f t="shared" si="26"/>
        <v>-251282.82679220056</v>
      </c>
    </row>
    <row r="325" spans="2:6" x14ac:dyDescent="0.2">
      <c r="B325" s="37">
        <f t="shared" si="22"/>
        <v>314</v>
      </c>
      <c r="C325" s="42">
        <f t="shared" si="25"/>
        <v>-251282.82679220056</v>
      </c>
      <c r="D325" s="3">
        <f t="shared" si="23"/>
        <v>-631.16687201929994</v>
      </c>
      <c r="E325" s="42">
        <f t="shared" si="24"/>
        <v>-760</v>
      </c>
      <c r="F325" s="42">
        <f t="shared" si="26"/>
        <v>-252673.99366421986</v>
      </c>
    </row>
    <row r="326" spans="2:6" x14ac:dyDescent="0.2">
      <c r="B326" s="37">
        <f t="shared" si="22"/>
        <v>315</v>
      </c>
      <c r="C326" s="42">
        <f t="shared" si="25"/>
        <v>-252673.99366421986</v>
      </c>
      <c r="D326" s="3">
        <f t="shared" si="23"/>
        <v>-634.66117544730002</v>
      </c>
      <c r="E326" s="42">
        <f t="shared" si="24"/>
        <v>-760</v>
      </c>
      <c r="F326" s="42">
        <f t="shared" si="26"/>
        <v>-254068.65483966717</v>
      </c>
    </row>
    <row r="327" spans="2:6" x14ac:dyDescent="0.2">
      <c r="B327" s="37">
        <f t="shared" si="22"/>
        <v>316</v>
      </c>
      <c r="C327" s="42">
        <f t="shared" si="25"/>
        <v>-254068.65483966717</v>
      </c>
      <c r="D327" s="3">
        <f t="shared" si="23"/>
        <v>-638.16425579259999</v>
      </c>
      <c r="E327" s="42">
        <f t="shared" si="24"/>
        <v>-760</v>
      </c>
      <c r="F327" s="42">
        <f t="shared" si="26"/>
        <v>-255466.81909545977</v>
      </c>
    </row>
    <row r="328" spans="2:6" x14ac:dyDescent="0.2">
      <c r="B328" s="37">
        <f t="shared" si="22"/>
        <v>317</v>
      </c>
      <c r="C328" s="42">
        <f t="shared" si="25"/>
        <v>-255466.81909545977</v>
      </c>
      <c r="D328" s="3">
        <f t="shared" si="23"/>
        <v>-641.67613510069998</v>
      </c>
      <c r="E328" s="42">
        <f t="shared" si="24"/>
        <v>-760</v>
      </c>
      <c r="F328" s="42">
        <f t="shared" si="26"/>
        <v>-256868.49523056045</v>
      </c>
    </row>
    <row r="329" spans="2:6" x14ac:dyDescent="0.2">
      <c r="B329" s="37">
        <f t="shared" si="22"/>
        <v>318</v>
      </c>
      <c r="C329" s="42">
        <f t="shared" si="25"/>
        <v>-256868.49523056045</v>
      </c>
      <c r="D329" s="3">
        <f t="shared" si="23"/>
        <v>-645.19683547269995</v>
      </c>
      <c r="E329" s="42">
        <f t="shared" si="24"/>
        <v>-760</v>
      </c>
      <c r="F329" s="42">
        <f t="shared" si="26"/>
        <v>-258273.69206603317</v>
      </c>
    </row>
    <row r="330" spans="2:6" x14ac:dyDescent="0.2">
      <c r="B330" s="37">
        <f t="shared" si="22"/>
        <v>319</v>
      </c>
      <c r="C330" s="42">
        <f t="shared" si="25"/>
        <v>-258273.69206603317</v>
      </c>
      <c r="D330" s="3">
        <f t="shared" si="23"/>
        <v>-648.72637906529997</v>
      </c>
      <c r="E330" s="42">
        <f t="shared" si="24"/>
        <v>-760</v>
      </c>
      <c r="F330" s="42">
        <f t="shared" si="26"/>
        <v>-259682.41844509848</v>
      </c>
    </row>
    <row r="331" spans="2:6" x14ac:dyDescent="0.2">
      <c r="B331" s="37">
        <f t="shared" si="22"/>
        <v>320</v>
      </c>
      <c r="C331" s="42">
        <f t="shared" si="25"/>
        <v>-259682.41844509848</v>
      </c>
      <c r="D331" s="3">
        <f t="shared" si="23"/>
        <v>-652.26478809050002</v>
      </c>
      <c r="E331" s="42">
        <f t="shared" si="24"/>
        <v>-760</v>
      </c>
      <c r="F331" s="42">
        <f t="shared" si="26"/>
        <v>-261094.68323318899</v>
      </c>
    </row>
    <row r="332" spans="2:6" x14ac:dyDescent="0.2">
      <c r="B332" s="37">
        <f t="shared" si="22"/>
        <v>321</v>
      </c>
      <c r="C332" s="42">
        <f t="shared" si="25"/>
        <v>-261094.68323318899</v>
      </c>
      <c r="D332" s="3">
        <f t="shared" si="23"/>
        <v>-655.81208481639999</v>
      </c>
      <c r="E332" s="42">
        <f t="shared" si="24"/>
        <v>-760</v>
      </c>
      <c r="F332" s="42">
        <f t="shared" si="26"/>
        <v>-262510.49531800539</v>
      </c>
    </row>
    <row r="333" spans="2:6" x14ac:dyDescent="0.2">
      <c r="B333" s="37">
        <f t="shared" ref="B333:B371" si="27">+B332+1</f>
        <v>322</v>
      </c>
      <c r="C333" s="42">
        <f t="shared" si="25"/>
        <v>-262510.49531800539</v>
      </c>
      <c r="D333" s="3">
        <f t="shared" ref="D333:D371" si="28">ROUND(C333*$E$4,10)</f>
        <v>-659.36829156700003</v>
      </c>
      <c r="E333" s="42">
        <f t="shared" ref="E333:E371" si="29">-ROUND($C$8,10)</f>
        <v>-760</v>
      </c>
      <c r="F333" s="42">
        <f t="shared" si="26"/>
        <v>-263929.86360957241</v>
      </c>
    </row>
    <row r="334" spans="2:6" x14ac:dyDescent="0.2">
      <c r="B334" s="37">
        <f t="shared" si="27"/>
        <v>323</v>
      </c>
      <c r="C334" s="42">
        <f t="shared" si="25"/>
        <v>-263929.86360957241</v>
      </c>
      <c r="D334" s="3">
        <f t="shared" si="28"/>
        <v>-662.9334307222</v>
      </c>
      <c r="E334" s="42">
        <f t="shared" si="29"/>
        <v>-760</v>
      </c>
      <c r="F334" s="42">
        <f t="shared" si="26"/>
        <v>-265352.79704029462</v>
      </c>
    </row>
    <row r="335" spans="2:6" x14ac:dyDescent="0.2">
      <c r="B335" s="37">
        <f t="shared" si="27"/>
        <v>324</v>
      </c>
      <c r="C335" s="42">
        <f t="shared" si="25"/>
        <v>-265352.79704029462</v>
      </c>
      <c r="D335" s="3">
        <f t="shared" si="28"/>
        <v>-666.50752471830003</v>
      </c>
      <c r="E335" s="42">
        <f t="shared" si="29"/>
        <v>-760</v>
      </c>
      <c r="F335" s="42">
        <f t="shared" si="26"/>
        <v>-266779.30456501292</v>
      </c>
    </row>
    <row r="336" spans="2:6" x14ac:dyDescent="0.2">
      <c r="B336" s="37">
        <f t="shared" si="27"/>
        <v>325</v>
      </c>
      <c r="C336" s="42">
        <f t="shared" si="25"/>
        <v>-266779.30456501292</v>
      </c>
      <c r="D336" s="3">
        <f t="shared" si="28"/>
        <v>-670.09059604790002</v>
      </c>
      <c r="E336" s="42">
        <f t="shared" si="29"/>
        <v>-760</v>
      </c>
      <c r="F336" s="42">
        <f t="shared" si="26"/>
        <v>-268209.39516106085</v>
      </c>
    </row>
    <row r="337" spans="2:6" x14ac:dyDescent="0.2">
      <c r="B337" s="37">
        <f t="shared" si="27"/>
        <v>326</v>
      </c>
      <c r="C337" s="42">
        <f t="shared" si="25"/>
        <v>-268209.39516106085</v>
      </c>
      <c r="D337" s="3">
        <f t="shared" si="28"/>
        <v>-673.68266725989997</v>
      </c>
      <c r="E337" s="42">
        <f t="shared" si="29"/>
        <v>-760</v>
      </c>
      <c r="F337" s="42">
        <f t="shared" si="26"/>
        <v>-269643.07782832073</v>
      </c>
    </row>
    <row r="338" spans="2:6" x14ac:dyDescent="0.2">
      <c r="B338" s="37">
        <f t="shared" si="27"/>
        <v>327</v>
      </c>
      <c r="C338" s="42">
        <f t="shared" si="25"/>
        <v>-269643.07782832073</v>
      </c>
      <c r="D338" s="3">
        <f t="shared" si="28"/>
        <v>-677.28376096030001</v>
      </c>
      <c r="E338" s="42">
        <f t="shared" si="29"/>
        <v>-760</v>
      </c>
      <c r="F338" s="42">
        <f t="shared" si="26"/>
        <v>-271080.361589281</v>
      </c>
    </row>
    <row r="339" spans="2:6" x14ac:dyDescent="0.2">
      <c r="B339" s="37">
        <f t="shared" si="27"/>
        <v>328</v>
      </c>
      <c r="C339" s="42">
        <f t="shared" si="25"/>
        <v>-271080.361589281</v>
      </c>
      <c r="D339" s="3">
        <f t="shared" si="28"/>
        <v>-680.8938998113</v>
      </c>
      <c r="E339" s="42">
        <f t="shared" si="29"/>
        <v>-760</v>
      </c>
      <c r="F339" s="42">
        <f t="shared" si="26"/>
        <v>-272521.25548909232</v>
      </c>
    </row>
    <row r="340" spans="2:6" x14ac:dyDescent="0.2">
      <c r="B340" s="37">
        <f t="shared" si="27"/>
        <v>329</v>
      </c>
      <c r="C340" s="42">
        <f t="shared" si="25"/>
        <v>-272521.25548909232</v>
      </c>
      <c r="D340" s="3">
        <f t="shared" si="28"/>
        <v>-684.51310653259998</v>
      </c>
      <c r="E340" s="42">
        <f t="shared" si="29"/>
        <v>-760</v>
      </c>
      <c r="F340" s="42">
        <f t="shared" si="26"/>
        <v>-273965.76859562495</v>
      </c>
    </row>
    <row r="341" spans="2:6" x14ac:dyDescent="0.2">
      <c r="B341" s="37">
        <f t="shared" si="27"/>
        <v>330</v>
      </c>
      <c r="C341" s="42">
        <f t="shared" si="25"/>
        <v>-273965.76859562495</v>
      </c>
      <c r="D341" s="3">
        <f t="shared" si="28"/>
        <v>-688.14140390039995</v>
      </c>
      <c r="E341" s="42">
        <f t="shared" si="29"/>
        <v>-760</v>
      </c>
      <c r="F341" s="42">
        <f t="shared" si="26"/>
        <v>-275413.90999952535</v>
      </c>
    </row>
    <row r="342" spans="2:6" x14ac:dyDescent="0.2">
      <c r="B342" s="37">
        <f t="shared" si="27"/>
        <v>331</v>
      </c>
      <c r="C342" s="42">
        <f t="shared" si="25"/>
        <v>-275413.90999952535</v>
      </c>
      <c r="D342" s="3">
        <f t="shared" si="28"/>
        <v>-691.77881474859998</v>
      </c>
      <c r="E342" s="42">
        <f t="shared" si="29"/>
        <v>-760</v>
      </c>
      <c r="F342" s="42">
        <f t="shared" si="26"/>
        <v>-276865.68881427398</v>
      </c>
    </row>
    <row r="343" spans="2:6" x14ac:dyDescent="0.2">
      <c r="B343" s="37">
        <f t="shared" si="27"/>
        <v>332</v>
      </c>
      <c r="C343" s="42">
        <f t="shared" si="25"/>
        <v>-276865.68881427398</v>
      </c>
      <c r="D343" s="3">
        <f t="shared" si="28"/>
        <v>-695.42536196820004</v>
      </c>
      <c r="E343" s="42">
        <f t="shared" si="29"/>
        <v>-760</v>
      </c>
      <c r="F343" s="42">
        <f t="shared" si="26"/>
        <v>-278321.1141762422</v>
      </c>
    </row>
    <row r="344" spans="2:6" x14ac:dyDescent="0.2">
      <c r="B344" s="37">
        <f t="shared" si="27"/>
        <v>333</v>
      </c>
      <c r="C344" s="42">
        <f t="shared" si="25"/>
        <v>-278321.1141762422</v>
      </c>
      <c r="D344" s="3">
        <f t="shared" si="28"/>
        <v>-699.08106850770002</v>
      </c>
      <c r="E344" s="42">
        <f t="shared" si="29"/>
        <v>-760</v>
      </c>
      <c r="F344" s="42">
        <f t="shared" si="26"/>
        <v>-279780.19524474989</v>
      </c>
    </row>
    <row r="345" spans="2:6" x14ac:dyDescent="0.2">
      <c r="B345" s="37">
        <f t="shared" si="27"/>
        <v>334</v>
      </c>
      <c r="C345" s="42">
        <f t="shared" si="25"/>
        <v>-279780.19524474989</v>
      </c>
      <c r="D345" s="3">
        <f t="shared" si="28"/>
        <v>-702.74595737339996</v>
      </c>
      <c r="E345" s="42">
        <f t="shared" si="29"/>
        <v>-760</v>
      </c>
      <c r="F345" s="42">
        <f t="shared" si="26"/>
        <v>-281242.9412021233</v>
      </c>
    </row>
    <row r="346" spans="2:6" x14ac:dyDescent="0.2">
      <c r="B346" s="37">
        <f t="shared" si="27"/>
        <v>335</v>
      </c>
      <c r="C346" s="42">
        <f t="shared" si="25"/>
        <v>-281242.9412021233</v>
      </c>
      <c r="D346" s="3">
        <f t="shared" si="28"/>
        <v>-706.42005162910004</v>
      </c>
      <c r="E346" s="42">
        <f t="shared" si="29"/>
        <v>-760</v>
      </c>
      <c r="F346" s="42">
        <f t="shared" si="26"/>
        <v>-282709.36125375237</v>
      </c>
    </row>
    <row r="347" spans="2:6" x14ac:dyDescent="0.2">
      <c r="B347" s="37">
        <f t="shared" si="27"/>
        <v>336</v>
      </c>
      <c r="C347" s="42">
        <f t="shared" si="25"/>
        <v>-282709.36125375237</v>
      </c>
      <c r="D347" s="3">
        <f t="shared" si="28"/>
        <v>-710.10337439679995</v>
      </c>
      <c r="E347" s="42">
        <f t="shared" si="29"/>
        <v>-760</v>
      </c>
      <c r="F347" s="42">
        <f t="shared" si="26"/>
        <v>-284179.46462814917</v>
      </c>
    </row>
    <row r="348" spans="2:6" x14ac:dyDescent="0.2">
      <c r="B348" s="37">
        <f t="shared" si="27"/>
        <v>337</v>
      </c>
      <c r="C348" s="42">
        <f t="shared" si="25"/>
        <v>-284179.46462814917</v>
      </c>
      <c r="D348" s="3">
        <f t="shared" si="28"/>
        <v>-713.79594885639995</v>
      </c>
      <c r="E348" s="42">
        <f t="shared" si="29"/>
        <v>-760</v>
      </c>
      <c r="F348" s="42">
        <f t="shared" si="26"/>
        <v>-285653.26057700557</v>
      </c>
    </row>
    <row r="349" spans="2:6" x14ac:dyDescent="0.2">
      <c r="B349" s="37">
        <f t="shared" si="27"/>
        <v>338</v>
      </c>
      <c r="C349" s="42">
        <f t="shared" si="25"/>
        <v>-285653.26057700557</v>
      </c>
      <c r="D349" s="3">
        <f t="shared" si="28"/>
        <v>-717.49779824619998</v>
      </c>
      <c r="E349" s="42">
        <f t="shared" si="29"/>
        <v>-760</v>
      </c>
      <c r="F349" s="42">
        <f t="shared" si="26"/>
        <v>-287130.75837525178</v>
      </c>
    </row>
    <row r="350" spans="2:6" x14ac:dyDescent="0.2">
      <c r="B350" s="37">
        <f t="shared" si="27"/>
        <v>339</v>
      </c>
      <c r="C350" s="42">
        <f t="shared" si="25"/>
        <v>-287130.75837525178</v>
      </c>
      <c r="D350" s="3">
        <f t="shared" si="28"/>
        <v>-721.20894586279996</v>
      </c>
      <c r="E350" s="42">
        <f t="shared" si="29"/>
        <v>-760</v>
      </c>
      <c r="F350" s="42">
        <f t="shared" si="26"/>
        <v>-288611.96732111456</v>
      </c>
    </row>
    <row r="351" spans="2:6" x14ac:dyDescent="0.2">
      <c r="B351" s="37">
        <f t="shared" si="27"/>
        <v>340</v>
      </c>
      <c r="C351" s="42">
        <f t="shared" si="25"/>
        <v>-288611.96732111456</v>
      </c>
      <c r="D351" s="3">
        <f t="shared" si="28"/>
        <v>-724.92941506119996</v>
      </c>
      <c r="E351" s="42">
        <f t="shared" si="29"/>
        <v>-760</v>
      </c>
      <c r="F351" s="42">
        <f t="shared" si="26"/>
        <v>-290096.89673617575</v>
      </c>
    </row>
    <row r="352" spans="2:6" x14ac:dyDescent="0.2">
      <c r="B352" s="37">
        <f t="shared" si="27"/>
        <v>341</v>
      </c>
      <c r="C352" s="42">
        <f t="shared" si="25"/>
        <v>-290096.89673617575</v>
      </c>
      <c r="D352" s="3">
        <f t="shared" si="28"/>
        <v>-728.65922925519999</v>
      </c>
      <c r="E352" s="42">
        <f t="shared" si="29"/>
        <v>-760</v>
      </c>
      <c r="F352" s="42">
        <f t="shared" si="26"/>
        <v>-291585.55596543098</v>
      </c>
    </row>
    <row r="353" spans="2:6" x14ac:dyDescent="0.2">
      <c r="B353" s="37">
        <f t="shared" si="27"/>
        <v>342</v>
      </c>
      <c r="C353" s="42">
        <f t="shared" si="25"/>
        <v>-291585.55596543098</v>
      </c>
      <c r="D353" s="3">
        <f t="shared" si="28"/>
        <v>-732.3984119173</v>
      </c>
      <c r="E353" s="42">
        <f t="shared" si="29"/>
        <v>-760</v>
      </c>
      <c r="F353" s="42">
        <f t="shared" si="26"/>
        <v>-293077.9543773483</v>
      </c>
    </row>
    <row r="354" spans="2:6" x14ac:dyDescent="0.2">
      <c r="B354" s="37">
        <f t="shared" si="27"/>
        <v>343</v>
      </c>
      <c r="C354" s="42">
        <f t="shared" si="25"/>
        <v>-293077.9543773483</v>
      </c>
      <c r="D354" s="3">
        <f t="shared" si="28"/>
        <v>-736.14698657910003</v>
      </c>
      <c r="E354" s="42">
        <f t="shared" si="29"/>
        <v>-760</v>
      </c>
      <c r="F354" s="42">
        <f t="shared" si="26"/>
        <v>-294574.10136392742</v>
      </c>
    </row>
    <row r="355" spans="2:6" x14ac:dyDescent="0.2">
      <c r="B355" s="37">
        <f t="shared" si="27"/>
        <v>344</v>
      </c>
      <c r="C355" s="42">
        <f t="shared" si="25"/>
        <v>-294574.10136392742</v>
      </c>
      <c r="D355" s="3">
        <f t="shared" si="28"/>
        <v>-739.90497683119997</v>
      </c>
      <c r="E355" s="42">
        <f t="shared" si="29"/>
        <v>-760</v>
      </c>
      <c r="F355" s="42">
        <f t="shared" si="26"/>
        <v>-296074.00634075864</v>
      </c>
    </row>
    <row r="356" spans="2:6" x14ac:dyDescent="0.2">
      <c r="B356" s="37">
        <f t="shared" si="27"/>
        <v>345</v>
      </c>
      <c r="C356" s="42">
        <f t="shared" si="25"/>
        <v>-296074.00634075864</v>
      </c>
      <c r="D356" s="3">
        <f t="shared" si="28"/>
        <v>-743.67240632339997</v>
      </c>
      <c r="E356" s="42">
        <f t="shared" si="29"/>
        <v>-760</v>
      </c>
      <c r="F356" s="42">
        <f t="shared" si="26"/>
        <v>-297577.67874708207</v>
      </c>
    </row>
    <row r="357" spans="2:6" x14ac:dyDescent="0.2">
      <c r="B357" s="37">
        <f t="shared" si="27"/>
        <v>346</v>
      </c>
      <c r="C357" s="42">
        <f t="shared" si="25"/>
        <v>-297577.67874708207</v>
      </c>
      <c r="D357" s="3">
        <f t="shared" si="28"/>
        <v>-747.44929876510002</v>
      </c>
      <c r="E357" s="42">
        <f t="shared" si="29"/>
        <v>-760</v>
      </c>
      <c r="F357" s="42">
        <f t="shared" si="26"/>
        <v>-299085.12804584717</v>
      </c>
    </row>
    <row r="358" spans="2:6" x14ac:dyDescent="0.2">
      <c r="B358" s="37">
        <f t="shared" si="27"/>
        <v>347</v>
      </c>
      <c r="C358" s="42">
        <f t="shared" si="25"/>
        <v>-299085.12804584717</v>
      </c>
      <c r="D358" s="3">
        <f t="shared" si="28"/>
        <v>-751.23567792510005</v>
      </c>
      <c r="E358" s="42">
        <f t="shared" si="29"/>
        <v>-760</v>
      </c>
      <c r="F358" s="42">
        <f t="shared" si="26"/>
        <v>-300596.36372377229</v>
      </c>
    </row>
    <row r="359" spans="2:6" x14ac:dyDescent="0.2">
      <c r="B359" s="37">
        <f t="shared" si="27"/>
        <v>348</v>
      </c>
      <c r="C359" s="42">
        <f t="shared" si="25"/>
        <v>-300596.36372377229</v>
      </c>
      <c r="D359" s="3">
        <f t="shared" si="28"/>
        <v>-755.03156763189997</v>
      </c>
      <c r="E359" s="42">
        <f t="shared" si="29"/>
        <v>-760</v>
      </c>
      <c r="F359" s="42">
        <f t="shared" si="26"/>
        <v>-302111.39529140416</v>
      </c>
    </row>
    <row r="360" spans="2:6" x14ac:dyDescent="0.2">
      <c r="B360" s="37">
        <f t="shared" si="27"/>
        <v>349</v>
      </c>
      <c r="C360" s="42">
        <f t="shared" si="25"/>
        <v>-302111.39529140416</v>
      </c>
      <c r="D360" s="3">
        <f t="shared" si="28"/>
        <v>-758.83699177400001</v>
      </c>
      <c r="E360" s="42">
        <f t="shared" si="29"/>
        <v>-760</v>
      </c>
      <c r="F360" s="42">
        <f t="shared" si="26"/>
        <v>-303630.23228317813</v>
      </c>
    </row>
    <row r="361" spans="2:6" x14ac:dyDescent="0.2">
      <c r="B361" s="37">
        <f t="shared" si="27"/>
        <v>350</v>
      </c>
      <c r="C361" s="42">
        <f t="shared" si="25"/>
        <v>-303630.23228317813</v>
      </c>
      <c r="D361" s="3">
        <f t="shared" si="28"/>
        <v>-762.65197429960006</v>
      </c>
      <c r="E361" s="42">
        <f t="shared" si="29"/>
        <v>-760</v>
      </c>
      <c r="F361" s="42">
        <f t="shared" si="26"/>
        <v>-305152.88425747771</v>
      </c>
    </row>
    <row r="362" spans="2:6" x14ac:dyDescent="0.2">
      <c r="B362" s="37">
        <f t="shared" si="27"/>
        <v>351</v>
      </c>
      <c r="C362" s="42">
        <f t="shared" si="25"/>
        <v>-305152.88425747771</v>
      </c>
      <c r="D362" s="3">
        <f t="shared" si="28"/>
        <v>-766.47653921740005</v>
      </c>
      <c r="E362" s="42">
        <f t="shared" si="29"/>
        <v>-760</v>
      </c>
      <c r="F362" s="42">
        <f t="shared" si="26"/>
        <v>-306679.36079669511</v>
      </c>
    </row>
    <row r="363" spans="2:6" x14ac:dyDescent="0.2">
      <c r="B363" s="37">
        <f t="shared" si="27"/>
        <v>352</v>
      </c>
      <c r="C363" s="42">
        <f t="shared" si="25"/>
        <v>-306679.36079669511</v>
      </c>
      <c r="D363" s="3">
        <f t="shared" si="28"/>
        <v>-770.31071059620001</v>
      </c>
      <c r="E363" s="42">
        <f t="shared" si="29"/>
        <v>-760</v>
      </c>
      <c r="F363" s="42">
        <f t="shared" si="26"/>
        <v>-308209.67150729132</v>
      </c>
    </row>
    <row r="364" spans="2:6" x14ac:dyDescent="0.2">
      <c r="B364" s="37">
        <f t="shared" si="27"/>
        <v>353</v>
      </c>
      <c r="C364" s="42">
        <f t="shared" si="25"/>
        <v>-308209.67150729132</v>
      </c>
      <c r="D364" s="3">
        <f t="shared" si="28"/>
        <v>-774.15451256530002</v>
      </c>
      <c r="E364" s="42">
        <f t="shared" si="29"/>
        <v>-760</v>
      </c>
      <c r="F364" s="42">
        <f t="shared" si="26"/>
        <v>-309743.82601985661</v>
      </c>
    </row>
    <row r="365" spans="2:6" x14ac:dyDescent="0.2">
      <c r="B365" s="37">
        <f t="shared" si="27"/>
        <v>354</v>
      </c>
      <c r="C365" s="42">
        <f t="shared" si="25"/>
        <v>-309743.82601985661</v>
      </c>
      <c r="D365" s="3">
        <f t="shared" si="28"/>
        <v>-778.00796931460002</v>
      </c>
      <c r="E365" s="42">
        <f t="shared" si="29"/>
        <v>-760</v>
      </c>
      <c r="F365" s="42">
        <f t="shared" si="26"/>
        <v>-311281.83398917119</v>
      </c>
    </row>
    <row r="366" spans="2:6" x14ac:dyDescent="0.2">
      <c r="B366" s="37">
        <f t="shared" si="27"/>
        <v>355</v>
      </c>
      <c r="C366" s="42">
        <f t="shared" si="25"/>
        <v>-311281.83398917119</v>
      </c>
      <c r="D366" s="3">
        <f t="shared" si="28"/>
        <v>-781.87110509479999</v>
      </c>
      <c r="E366" s="42">
        <f t="shared" si="29"/>
        <v>-760</v>
      </c>
      <c r="F366" s="42">
        <f t="shared" si="26"/>
        <v>-312823.70509426598</v>
      </c>
    </row>
    <row r="367" spans="2:6" x14ac:dyDescent="0.2">
      <c r="B367" s="37">
        <f t="shared" si="27"/>
        <v>356</v>
      </c>
      <c r="C367" s="42">
        <f t="shared" si="25"/>
        <v>-312823.70509426598</v>
      </c>
      <c r="D367" s="3">
        <f t="shared" si="28"/>
        <v>-785.74394421750003</v>
      </c>
      <c r="E367" s="42">
        <f t="shared" si="29"/>
        <v>-760</v>
      </c>
      <c r="F367" s="42">
        <f t="shared" si="26"/>
        <v>-314369.44903848349</v>
      </c>
    </row>
    <row r="368" spans="2:6" x14ac:dyDescent="0.2">
      <c r="B368" s="37">
        <f t="shared" si="27"/>
        <v>357</v>
      </c>
      <c r="C368" s="42">
        <f t="shared" si="25"/>
        <v>-314369.44903848349</v>
      </c>
      <c r="D368" s="3">
        <f t="shared" si="28"/>
        <v>-789.62651105530006</v>
      </c>
      <c r="E368" s="42">
        <f t="shared" si="29"/>
        <v>-760</v>
      </c>
      <c r="F368" s="42">
        <f t="shared" si="26"/>
        <v>-315919.07554953877</v>
      </c>
    </row>
    <row r="369" spans="2:6" x14ac:dyDescent="0.2">
      <c r="B369" s="37">
        <f t="shared" si="27"/>
        <v>358</v>
      </c>
      <c r="C369" s="42">
        <f t="shared" si="25"/>
        <v>-315919.07554953877</v>
      </c>
      <c r="D369" s="3">
        <f t="shared" si="28"/>
        <v>-793.51883004210003</v>
      </c>
      <c r="E369" s="42">
        <f t="shared" si="29"/>
        <v>-760</v>
      </c>
      <c r="F369" s="42">
        <f t="shared" si="26"/>
        <v>-317472.59437958087</v>
      </c>
    </row>
    <row r="370" spans="2:6" x14ac:dyDescent="0.2">
      <c r="B370" s="37">
        <f t="shared" si="27"/>
        <v>359</v>
      </c>
      <c r="C370" s="42">
        <f t="shared" si="25"/>
        <v>-317472.59437958087</v>
      </c>
      <c r="D370" s="3">
        <f t="shared" si="28"/>
        <v>-797.42092567320003</v>
      </c>
      <c r="E370" s="42">
        <f t="shared" si="29"/>
        <v>-760</v>
      </c>
      <c r="F370" s="42">
        <f t="shared" si="26"/>
        <v>-319030.01530525408</v>
      </c>
    </row>
    <row r="371" spans="2:6" x14ac:dyDescent="0.2">
      <c r="B371" s="37">
        <f t="shared" si="27"/>
        <v>360</v>
      </c>
      <c r="C371" s="42">
        <f t="shared" si="25"/>
        <v>-319030.01530525408</v>
      </c>
      <c r="D371" s="3">
        <f t="shared" si="28"/>
        <v>-801.33282250520006</v>
      </c>
      <c r="E371" s="42">
        <f t="shared" si="29"/>
        <v>-760</v>
      </c>
      <c r="F371" s="42">
        <f t="shared" si="26"/>
        <v>-320591.34812775929</v>
      </c>
    </row>
  </sheetData>
  <mergeCells count="3">
    <mergeCell ref="L5:N8"/>
    <mergeCell ref="P5:R8"/>
    <mergeCell ref="H5:J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Q1_3">
                <anchor moveWithCells="1" sizeWithCells="1">
                  <from>
                    <xdr:col>7</xdr:col>
                    <xdr:colOff>12700</xdr:colOff>
                    <xdr:row>4</xdr:row>
                    <xdr:rowOff>12700</xdr:rowOff>
                  </from>
                  <to>
                    <xdr:col>10</xdr:col>
                    <xdr:colOff>0</xdr:colOff>
                    <xdr:row>7</xdr:row>
                    <xdr:rowOff>190500</xdr:rowOff>
                  </to>
                </anchor>
              </controlPr>
            </control>
          </mc:Choice>
        </mc:AlternateContent>
        <mc:AlternateContent xmlns:mc="http://schemas.openxmlformats.org/markup-compatibility/2006">
          <mc:Choice Requires="x14">
            <control shapeId="2050" r:id="rId5" name="Button 2">
              <controlPr defaultSize="0" print="0" autoFill="0" autoPict="0" macro="[0]!Question_4">
                <anchor moveWithCells="1" sizeWithCells="1">
                  <from>
                    <xdr:col>11</xdr:col>
                    <xdr:colOff>12700</xdr:colOff>
                    <xdr:row>4</xdr:row>
                    <xdr:rowOff>25400</xdr:rowOff>
                  </from>
                  <to>
                    <xdr:col>13</xdr:col>
                    <xdr:colOff>673100</xdr:colOff>
                    <xdr:row>7</xdr:row>
                    <xdr:rowOff>190500</xdr:rowOff>
                  </to>
                </anchor>
              </controlPr>
            </control>
          </mc:Choice>
        </mc:AlternateContent>
        <mc:AlternateContent xmlns:mc="http://schemas.openxmlformats.org/markup-compatibility/2006">
          <mc:Choice Requires="x14">
            <control shapeId="2051" r:id="rId6" name="Button 3">
              <controlPr defaultSize="0" print="0" autoFill="0" autoPict="0" macro="[0]!Question_5">
                <anchor moveWithCells="1" sizeWithCells="1">
                  <from>
                    <xdr:col>15</xdr:col>
                    <xdr:colOff>12700</xdr:colOff>
                    <xdr:row>4</xdr:row>
                    <xdr:rowOff>12700</xdr:rowOff>
                  </from>
                  <to>
                    <xdr:col>18</xdr:col>
                    <xdr:colOff>0</xdr:colOff>
                    <xdr:row>7</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05DC2-7732-426A-A67B-042E93673E3F}">
  <sheetPr codeName="Sheet2"/>
  <dimension ref="C3:H14"/>
  <sheetViews>
    <sheetView showGridLines="0" workbookViewId="0">
      <selection activeCell="H20" sqref="H20"/>
    </sheetView>
  </sheetViews>
  <sheetFormatPr baseColWidth="10" defaultColWidth="8.83203125" defaultRowHeight="13" x14ac:dyDescent="0.15"/>
  <cols>
    <col min="4" max="4" width="19.1640625" customWidth="1"/>
    <col min="5" max="5" width="18.5" customWidth="1"/>
    <col min="6" max="6" width="16.5" customWidth="1"/>
    <col min="7" max="7" width="17.83203125" customWidth="1"/>
    <col min="8" max="8" width="23" customWidth="1"/>
    <col min="9" max="9" width="14.1640625" customWidth="1"/>
  </cols>
  <sheetData>
    <row r="3" spans="3:8" ht="16" x14ac:dyDescent="0.2">
      <c r="C3" s="20" t="s">
        <v>27</v>
      </c>
    </row>
    <row r="5" spans="3:8" ht="58.75" customHeight="1" x14ac:dyDescent="0.15">
      <c r="C5" s="15"/>
      <c r="D5" s="13" t="s">
        <v>28</v>
      </c>
      <c r="E5" s="13" t="s">
        <v>29</v>
      </c>
      <c r="F5" s="13" t="s">
        <v>30</v>
      </c>
      <c r="G5" s="13" t="s">
        <v>31</v>
      </c>
      <c r="H5" s="14" t="s">
        <v>32</v>
      </c>
    </row>
    <row r="6" spans="3:8" ht="16" x14ac:dyDescent="0.2">
      <c r="C6" s="17" t="s">
        <v>33</v>
      </c>
      <c r="D6" s="5">
        <v>20000</v>
      </c>
      <c r="E6" s="6">
        <v>3.7499999999999999E-2</v>
      </c>
      <c r="F6" s="7">
        <v>60</v>
      </c>
      <c r="G6" s="31">
        <v>366.07836655759331</v>
      </c>
      <c r="H6" s="8">
        <f>F6*G6</f>
        <v>21964.701993455597</v>
      </c>
    </row>
    <row r="7" spans="3:8" ht="16" x14ac:dyDescent="0.2">
      <c r="C7" s="17"/>
      <c r="D7" s="5"/>
      <c r="E7" s="6"/>
      <c r="F7" s="7"/>
      <c r="G7" s="9"/>
      <c r="H7" s="8"/>
    </row>
    <row r="8" spans="3:8" ht="16" x14ac:dyDescent="0.2">
      <c r="C8" s="17" t="s">
        <v>34</v>
      </c>
      <c r="D8" s="5">
        <v>20000</v>
      </c>
      <c r="E8" s="6">
        <v>7.4999999999999997E-2</v>
      </c>
      <c r="F8" s="7">
        <v>60</v>
      </c>
      <c r="G8" s="32">
        <v>400.75897191228199</v>
      </c>
      <c r="H8" s="8">
        <f>F8*G8</f>
        <v>24045.538314736921</v>
      </c>
    </row>
    <row r="9" spans="3:8" ht="16" x14ac:dyDescent="0.2">
      <c r="C9" s="17"/>
      <c r="D9" s="5"/>
      <c r="E9" s="6"/>
      <c r="F9" s="7"/>
      <c r="G9" s="5"/>
      <c r="H9" s="8"/>
    </row>
    <row r="10" spans="3:8" ht="16" x14ac:dyDescent="0.2">
      <c r="C10" s="17" t="s">
        <v>35</v>
      </c>
      <c r="D10" s="5">
        <v>30000</v>
      </c>
      <c r="E10" s="6">
        <v>0.05</v>
      </c>
      <c r="F10" s="7">
        <v>48</v>
      </c>
      <c r="G10" s="32">
        <v>690.87880711939476</v>
      </c>
      <c r="H10" s="8">
        <f>F10*G10</f>
        <v>33162.182741730947</v>
      </c>
    </row>
    <row r="11" spans="3:8" ht="16" x14ac:dyDescent="0.2">
      <c r="C11" s="17"/>
      <c r="D11" s="5"/>
      <c r="E11" s="6"/>
      <c r="F11" s="7"/>
      <c r="G11" s="5"/>
      <c r="H11" s="8"/>
    </row>
    <row r="12" spans="3:8" ht="16" x14ac:dyDescent="0.2">
      <c r="C12" s="17" t="s">
        <v>36</v>
      </c>
      <c r="D12" s="34">
        <v>14396.433373528518</v>
      </c>
      <c r="E12" s="6">
        <v>6.25E-2</v>
      </c>
      <c r="F12" s="7">
        <v>60</v>
      </c>
      <c r="G12" s="5">
        <v>280</v>
      </c>
      <c r="H12" s="8">
        <f>F12*G12</f>
        <v>16800</v>
      </c>
    </row>
    <row r="13" spans="3:8" ht="16" x14ac:dyDescent="0.2">
      <c r="C13" s="17"/>
      <c r="D13" s="5"/>
      <c r="E13" s="6"/>
      <c r="F13" s="7"/>
      <c r="G13" s="5"/>
      <c r="H13" s="8"/>
    </row>
    <row r="14" spans="3:8" ht="16" x14ac:dyDescent="0.2">
      <c r="C14" s="16" t="s">
        <v>37</v>
      </c>
      <c r="D14" s="10">
        <v>50000</v>
      </c>
      <c r="E14" s="33">
        <v>3.0141345355425508E-2</v>
      </c>
      <c r="F14" s="11">
        <v>72</v>
      </c>
      <c r="G14" s="10">
        <v>760</v>
      </c>
      <c r="H14" s="12">
        <f>F14*G14</f>
        <v>54720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Instructions</vt:lpstr>
      <vt:lpstr>LOAN CALCULATOR</vt:lpstr>
      <vt:lpstr>Answer Sheet</vt:lpstr>
      <vt:lpstr>Payment</vt:lpstr>
    </vt:vector>
  </TitlesOfParts>
  <Manager/>
  <Company>Lincoln Financial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Watt, Daniel</dc:creator>
  <cp:keywords/>
  <dc:description/>
  <cp:lastModifiedBy>Medved, Mike</cp:lastModifiedBy>
  <cp:revision/>
  <dcterms:created xsi:type="dcterms:W3CDTF">2007-06-11T23:13:39Z</dcterms:created>
  <dcterms:modified xsi:type="dcterms:W3CDTF">2023-10-03T21:40:21Z</dcterms:modified>
  <cp:category/>
  <cp:contentStatus/>
</cp:coreProperties>
</file>